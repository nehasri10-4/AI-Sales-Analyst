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B0F108D758D4BA6/Documents/"/>
    </mc:Choice>
  </mc:AlternateContent>
  <xr:revisionPtr revIDLastSave="138" documentId="8_{5D44AC06-4623-40B4-900A-4B5603779D8F}" xr6:coauthVersionLast="47" xr6:coauthVersionMax="47" xr10:uidLastSave="{A4EBA90E-F243-4159-A96F-C4FAB1DD0B88}"/>
  <bookViews>
    <workbookView xWindow="-108" yWindow="-108" windowWidth="23256" windowHeight="12456" activeTab="3" xr2:uid="{00000000-000D-0000-FFFF-FFFF00000000}"/>
  </bookViews>
  <sheets>
    <sheet name="Charts" sheetId="8" r:id="rId1"/>
    <sheet name="Cleaned E commerce sales" sheetId="2" r:id="rId2"/>
    <sheet name="Raw_Data" sheetId="1" r:id="rId3"/>
    <sheet name="Pivot Tables" sheetId="6" r:id="rId4"/>
  </sheets>
  <definedNames>
    <definedName name="_xlnm._FilterDatabase" localSheetId="2" hidden="1">Raw_Data!$A$1:$K$509</definedName>
    <definedName name="ExternalData_1" localSheetId="1" hidden="1">'Cleaned E commerce sales'!$A$1:$O$501</definedName>
  </definedName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6" l="1"/>
  <c r="H6" i="6"/>
  <c r="K3" i="6"/>
  <c r="H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59E6-8A23-4242-8CB9-26CD207FA7BD}" keepAlive="1" name="Query - Cleaned E commerce sales" description="Connection to the 'Cleaned E commerce sales' query in the workbook." type="5" refreshedVersion="8" background="1" saveData="1">
    <dbPr connection="Provider=Microsoft.Mashup.OleDb.1;Data Source=$Workbook$;Location=&quot;Cleaned E commerce sales&quot;;Extended Properties=&quot;&quot;" command="SELECT * FROM [Cleaned E commerce sales]"/>
  </connection>
</connections>
</file>

<file path=xl/sharedStrings.xml><?xml version="1.0" encoding="utf-8"?>
<sst xmlns="http://schemas.openxmlformats.org/spreadsheetml/2006/main" count="8134" uniqueCount="784">
  <si>
    <t>Order ID</t>
  </si>
  <si>
    <t>Order Date</t>
  </si>
  <si>
    <t>Customer</t>
  </si>
  <si>
    <t>Region</t>
  </si>
  <si>
    <t>Category</t>
  </si>
  <si>
    <t>Product</t>
  </si>
  <si>
    <t>Quantity</t>
  </si>
  <si>
    <t>Unit Price</t>
  </si>
  <si>
    <t>Discount</t>
  </si>
  <si>
    <t>Payment Mode</t>
  </si>
  <si>
    <t>Order Status</t>
  </si>
  <si>
    <t>ORD1001</t>
  </si>
  <si>
    <t>12-03-2026</t>
  </si>
  <si>
    <t>Ananya</t>
  </si>
  <si>
    <t>South</t>
  </si>
  <si>
    <t>Electronics</t>
  </si>
  <si>
    <t>Headphones</t>
  </si>
  <si>
    <t>UPI</t>
  </si>
  <si>
    <t>Returned</t>
  </si>
  <si>
    <t>ORD1002</t>
  </si>
  <si>
    <t>24-01-2026</t>
  </si>
  <si>
    <t>Vijay</t>
  </si>
  <si>
    <t>Pending</t>
  </si>
  <si>
    <t>ORD1003</t>
  </si>
  <si>
    <t>26-02-2026</t>
  </si>
  <si>
    <t>Aditya</t>
  </si>
  <si>
    <t>East</t>
  </si>
  <si>
    <t>Beauty</t>
  </si>
  <si>
    <t>Body Lotion</t>
  </si>
  <si>
    <t>Net Banking</t>
  </si>
  <si>
    <t>Cancelled</t>
  </si>
  <si>
    <t>ORD1004</t>
  </si>
  <si>
    <t>25-02-2026</t>
  </si>
  <si>
    <t>Dinesh</t>
  </si>
  <si>
    <t>Home</t>
  </si>
  <si>
    <t>Coffee Maker</t>
  </si>
  <si>
    <t>Delivered</t>
  </si>
  <si>
    <t>ORD1005</t>
  </si>
  <si>
    <t>04-06-2026</t>
  </si>
  <si>
    <t>Sanjay</t>
  </si>
  <si>
    <t>North</t>
  </si>
  <si>
    <t>Bedsheet</t>
  </si>
  <si>
    <t>ORD1006</t>
  </si>
  <si>
    <t>17-03-2026</t>
  </si>
  <si>
    <t>Surya</t>
  </si>
  <si>
    <t>Smart Watch</t>
  </si>
  <si>
    <t>ORD1007</t>
  </si>
  <si>
    <t>21-01-2026</t>
  </si>
  <si>
    <t>Deepa</t>
  </si>
  <si>
    <t>Clothing</t>
  </si>
  <si>
    <t>Hoodie</t>
  </si>
  <si>
    <t>Cash</t>
  </si>
  <si>
    <t>ORD1008</t>
  </si>
  <si>
    <t>05-04-2026</t>
  </si>
  <si>
    <t>Nisha</t>
  </si>
  <si>
    <t>Card</t>
  </si>
  <si>
    <t>ORD1009</t>
  </si>
  <si>
    <t>08-04-2026</t>
  </si>
  <si>
    <t>Sneakers</t>
  </si>
  <si>
    <t>ORD1010</t>
  </si>
  <si>
    <t>10-03-2026</t>
  </si>
  <si>
    <t>Rahul</t>
  </si>
  <si>
    <t>Wall Clock</t>
  </si>
  <si>
    <t>ORD1011</t>
  </si>
  <si>
    <t>06-02-2026</t>
  </si>
  <si>
    <t>Books</t>
  </si>
  <si>
    <t>Power BI Handbook</t>
  </si>
  <si>
    <t>ORD1012</t>
  </si>
  <si>
    <t>03-04-2026</t>
  </si>
  <si>
    <t>ORD1013</t>
  </si>
  <si>
    <t>10-06-2026</t>
  </si>
  <si>
    <t>Divya</t>
  </si>
  <si>
    <t>West</t>
  </si>
  <si>
    <t>Keyboard</t>
  </si>
  <si>
    <t>ORD1014</t>
  </si>
  <si>
    <t>16-05-2026</t>
  </si>
  <si>
    <t>ORD1015</t>
  </si>
  <si>
    <t>22-04-2026</t>
  </si>
  <si>
    <t>Wireless Mouse</t>
  </si>
  <si>
    <t>ORD1016</t>
  </si>
  <si>
    <t>05-06-2026</t>
  </si>
  <si>
    <t>Storage Box</t>
  </si>
  <si>
    <t>ORD1017</t>
  </si>
  <si>
    <t>29-01-2026</t>
  </si>
  <si>
    <t>Ishita</t>
  </si>
  <si>
    <t>Python Basics</t>
  </si>
  <si>
    <t>ORD1018</t>
  </si>
  <si>
    <t>22-01-2026</t>
  </si>
  <si>
    <t>Aishwarya</t>
  </si>
  <si>
    <t>Face Wash</t>
  </si>
  <si>
    <t>ORD1019</t>
  </si>
  <si>
    <t>12-02-2026</t>
  </si>
  <si>
    <t>Excel Mastery</t>
  </si>
  <si>
    <t>ORD1020</t>
  </si>
  <si>
    <t>23-04-2026</t>
  </si>
  <si>
    <t>Mohan</t>
  </si>
  <si>
    <t>Data Analytics</t>
  </si>
  <si>
    <t>ORD1021</t>
  </si>
  <si>
    <t>31-05-2026</t>
  </si>
  <si>
    <t>Harini</t>
  </si>
  <si>
    <t>Table Lamp</t>
  </si>
  <si>
    <t>ORD1022</t>
  </si>
  <si>
    <t>18-01-2026</t>
  </si>
  <si>
    <t>ORD1023</t>
  </si>
  <si>
    <t>19-05-2026</t>
  </si>
  <si>
    <t>Karthik</t>
  </si>
  <si>
    <t>SQL Guide</t>
  </si>
  <si>
    <t>ORD1024</t>
  </si>
  <si>
    <t>18-06-2026</t>
  </si>
  <si>
    <t>Pooja</t>
  </si>
  <si>
    <t>ORD1025</t>
  </si>
  <si>
    <t>14-04-2026</t>
  </si>
  <si>
    <t>ORD1026</t>
  </si>
  <si>
    <t>05-02-2026</t>
  </si>
  <si>
    <t>upi</t>
  </si>
  <si>
    <t>ORD1027</t>
  </si>
  <si>
    <t>26-01-2026</t>
  </si>
  <si>
    <t>Priya</t>
  </si>
  <si>
    <t>ORD1028</t>
  </si>
  <si>
    <t>24-02-2026</t>
  </si>
  <si>
    <t>ORD1029</t>
  </si>
  <si>
    <t>27-04-2026</t>
  </si>
  <si>
    <t>Keerthana</t>
  </si>
  <si>
    <t>ORD1030</t>
  </si>
  <si>
    <t>15-01-2026</t>
  </si>
  <si>
    <t>Akash</t>
  </si>
  <si>
    <t>ORD1031</t>
  </si>
  <si>
    <t>10-02-2026</t>
  </si>
  <si>
    <t>Perfume</t>
  </si>
  <si>
    <t>ORD1032</t>
  </si>
  <si>
    <t>26-05-2026</t>
  </si>
  <si>
    <t>ORD1033</t>
  </si>
  <si>
    <t>21-06-2026</t>
  </si>
  <si>
    <t>Gokul</t>
  </si>
  <si>
    <t>ORD1034</t>
  </si>
  <si>
    <t>22-03-2026</t>
  </si>
  <si>
    <t>ORD1035</t>
  </si>
  <si>
    <t>10-05-2026</t>
  </si>
  <si>
    <t>Moisturizer</t>
  </si>
  <si>
    <t>ORD1036</t>
  </si>
  <si>
    <t>ORD1037</t>
  </si>
  <si>
    <t>09-03-2026</t>
  </si>
  <si>
    <t>Meena</t>
  </si>
  <si>
    <t>ORD1038</t>
  </si>
  <si>
    <t>29-03-2026</t>
  </si>
  <si>
    <t>ORD1039</t>
  </si>
  <si>
    <t>Bluetooth Speaker</t>
  </si>
  <si>
    <t>ORD1040</t>
  </si>
  <si>
    <t>30-06-2026</t>
  </si>
  <si>
    <t>ORD1041</t>
  </si>
  <si>
    <t>22-05-2026</t>
  </si>
  <si>
    <t xml:space="preserve"> South </t>
  </si>
  <si>
    <t>ORD1042</t>
  </si>
  <si>
    <t>23-02-2026</t>
  </si>
  <si>
    <t>Lavanya</t>
  </si>
  <si>
    <t>ORD1043</t>
  </si>
  <si>
    <t>15-02-2026</t>
  </si>
  <si>
    <t>Jeans</t>
  </si>
  <si>
    <t>ORD1044</t>
  </si>
  <si>
    <t>Kavya</t>
  </si>
  <si>
    <t>ORD1045</t>
  </si>
  <si>
    <t>31-03-2026</t>
  </si>
  <si>
    <t>ORD1046</t>
  </si>
  <si>
    <t>ORD1047</t>
  </si>
  <si>
    <t>08-03-2026</t>
  </si>
  <si>
    <t>ORD1048</t>
  </si>
  <si>
    <t>Manoj</t>
  </si>
  <si>
    <t>ORD1049</t>
  </si>
  <si>
    <t>01-01-2026</t>
  </si>
  <si>
    <t>ORD1050</t>
  </si>
  <si>
    <t>19-06-2026</t>
  </si>
  <si>
    <t>Shampoo</t>
  </si>
  <si>
    <t>ORD1051</t>
  </si>
  <si>
    <t>28-06-2026</t>
  </si>
  <si>
    <t>ORD1052</t>
  </si>
  <si>
    <t>19-03-2026</t>
  </si>
  <si>
    <t>Suresh</t>
  </si>
  <si>
    <t>ORD1053</t>
  </si>
  <si>
    <t>17-06-2026</t>
  </si>
  <si>
    <t>Rohit</t>
  </si>
  <si>
    <t>ORD1054</t>
  </si>
  <si>
    <t>14-03-2026</t>
  </si>
  <si>
    <t>T-Shirt</t>
  </si>
  <si>
    <t>ORD1055</t>
  </si>
  <si>
    <t>07-01-2026</t>
  </si>
  <si>
    <t>ORD1056</t>
  </si>
  <si>
    <t>19-02-2026</t>
  </si>
  <si>
    <t xml:space="preserve"> Gokul </t>
  </si>
  <si>
    <t>ORD1057</t>
  </si>
  <si>
    <t>19-04-2026</t>
  </si>
  <si>
    <t>ORD1058</t>
  </si>
  <si>
    <t>04-02-2026</t>
  </si>
  <si>
    <t>ORD1059</t>
  </si>
  <si>
    <t>20-04-2026</t>
  </si>
  <si>
    <t>ORD1060</t>
  </si>
  <si>
    <t>14-05-2026</t>
  </si>
  <si>
    <t>Swetha</t>
  </si>
  <si>
    <t>ORD1061</t>
  </si>
  <si>
    <t>27-03-2026</t>
  </si>
  <si>
    <t>ORD1062</t>
  </si>
  <si>
    <t>17-01-2026</t>
  </si>
  <si>
    <t>ORD1063</t>
  </si>
  <si>
    <t>18-04-2026</t>
  </si>
  <si>
    <t>ORD1064</t>
  </si>
  <si>
    <t>10-04-2026</t>
  </si>
  <si>
    <t>ORD1065</t>
  </si>
  <si>
    <t>ORD1066</t>
  </si>
  <si>
    <t>09-06-2026</t>
  </si>
  <si>
    <t>ORD1067</t>
  </si>
  <si>
    <t>29-04-2026</t>
  </si>
  <si>
    <t>ORD1068</t>
  </si>
  <si>
    <t>28-03-2026</t>
  </si>
  <si>
    <t>ORD1069</t>
  </si>
  <si>
    <t>ORD1070</t>
  </si>
  <si>
    <t>06-01-2026</t>
  </si>
  <si>
    <t>Sneha</t>
  </si>
  <si>
    <t>ORD1071</t>
  </si>
  <si>
    <t>30-04-2026</t>
  </si>
  <si>
    <t>ORD1072</t>
  </si>
  <si>
    <t>29-05-2026</t>
  </si>
  <si>
    <t>Arun</t>
  </si>
  <si>
    <t>ORD1073</t>
  </si>
  <si>
    <t>26-06-2026</t>
  </si>
  <si>
    <t>ORD1074</t>
  </si>
  <si>
    <t>ORD1075</t>
  </si>
  <si>
    <t>28-01-2026</t>
  </si>
  <si>
    <t>ORD1076</t>
  </si>
  <si>
    <t>07-06-2026</t>
  </si>
  <si>
    <t>ORD1077</t>
  </si>
  <si>
    <t>13-03-2026</t>
  </si>
  <si>
    <t>ORD1078</t>
  </si>
  <si>
    <t>25-03-2026</t>
  </si>
  <si>
    <t>ORD1079</t>
  </si>
  <si>
    <t>29-06-2026</t>
  </si>
  <si>
    <t>ORD1080</t>
  </si>
  <si>
    <t>06-05-2026</t>
  </si>
  <si>
    <t>ORD1081</t>
  </si>
  <si>
    <t>ORD1082</t>
  </si>
  <si>
    <t>30-03-2026</t>
  </si>
  <si>
    <t>ORD1083</t>
  </si>
  <si>
    <t>31-01-2026</t>
  </si>
  <si>
    <t>ORD1084</t>
  </si>
  <si>
    <t>ORD1085</t>
  </si>
  <si>
    <t>ORD1086</t>
  </si>
  <si>
    <t>27-01-2026</t>
  </si>
  <si>
    <t>ORD1087</t>
  </si>
  <si>
    <t>17-02-2026</t>
  </si>
  <si>
    <t>ORD1088</t>
  </si>
  <si>
    <t>28-05-2026</t>
  </si>
  <si>
    <t>Prakash</t>
  </si>
  <si>
    <t>ORD1089</t>
  </si>
  <si>
    <t>23-05-2026</t>
  </si>
  <si>
    <t>ORD1090</t>
  </si>
  <si>
    <t>18-03-2026</t>
  </si>
  <si>
    <t>ORD1091</t>
  </si>
  <si>
    <t>ORD1092</t>
  </si>
  <si>
    <t>15-04-2026</t>
  </si>
  <si>
    <t>ORD1093</t>
  </si>
  <si>
    <t>19-01-2026</t>
  </si>
  <si>
    <t>ORD1094</t>
  </si>
  <si>
    <t>27-02-2026</t>
  </si>
  <si>
    <t>ORD1095</t>
  </si>
  <si>
    <t>02-06-2026</t>
  </si>
  <si>
    <t>ORD1096</t>
  </si>
  <si>
    <t>09-05-2026</t>
  </si>
  <si>
    <t>ORD1097</t>
  </si>
  <si>
    <t>06-03-2026</t>
  </si>
  <si>
    <t>ORD1098</t>
  </si>
  <si>
    <t>14-02-2026</t>
  </si>
  <si>
    <t>ORD1099</t>
  </si>
  <si>
    <t>ORD1100</t>
  </si>
  <si>
    <t>15-03-2026</t>
  </si>
  <si>
    <t>ORD1101</t>
  </si>
  <si>
    <t>24-03-2026</t>
  </si>
  <si>
    <t>ORD1102</t>
  </si>
  <si>
    <t>13-05-2026</t>
  </si>
  <si>
    <t>ORD1103</t>
  </si>
  <si>
    <t>ORD1104</t>
  </si>
  <si>
    <t>04-01-2026</t>
  </si>
  <si>
    <t>ORD1105</t>
  </si>
  <si>
    <t>08-05-2026</t>
  </si>
  <si>
    <t>ORD1106</t>
  </si>
  <si>
    <t>ORD1107</t>
  </si>
  <si>
    <t>ORD1108</t>
  </si>
  <si>
    <t>18-05-2026</t>
  </si>
  <si>
    <t>ORD1109</t>
  </si>
  <si>
    <t>ORD1110</t>
  </si>
  <si>
    <t>09-04-2026</t>
  </si>
  <si>
    <t>ORD1111</t>
  </si>
  <si>
    <t>ORD1112</t>
  </si>
  <si>
    <t>ORD1113</t>
  </si>
  <si>
    <t>10-01-2026</t>
  </si>
  <si>
    <t>ORD1114</t>
  </si>
  <si>
    <t>12-06-2026</t>
  </si>
  <si>
    <t>ORD1115</t>
  </si>
  <si>
    <t>ORD1116</t>
  </si>
  <si>
    <t>25-05-2026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</si>
  <si>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</si>
  <si>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</si>
  <si>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</si>
  <si>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</si>
  <si>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</si>
  <si>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</si>
  <si>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</si>
  <si>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</si>
  <si>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21-02-2026</t>
  </si>
  <si>
    <t>ORD1125</t>
  </si>
  <si>
    <t>ORD1126</t>
  </si>
  <si>
    <t>ORD1127</t>
  </si>
  <si>
    <t>22-06-2026</t>
  </si>
  <si>
    <t>ORD1128</t>
  </si>
  <si>
    <t>ORD1129</t>
  </si>
  <si>
    <t>30-01-2026</t>
  </si>
  <si>
    <t>ORD1130</t>
  </si>
  <si>
    <t>ORD1131</t>
  </si>
  <si>
    <t>ORD1132</t>
  </si>
  <si>
    <t>02-03-2026</t>
  </si>
  <si>
    <t>ORD1133</t>
  </si>
  <si>
    <t>18-02-2026</t>
  </si>
  <si>
    <t>ORD1134</t>
  </si>
  <si>
    <t>02-02-2026</t>
  </si>
  <si>
    <t>ORD1135</t>
  </si>
  <si>
    <t>07-02-2026</t>
  </si>
  <si>
    <t>ORD1136</t>
  </si>
  <si>
    <t>ORD1137</t>
  </si>
  <si>
    <t>05-01-2026</t>
  </si>
  <si>
    <t>ORD1138</t>
  </si>
  <si>
    <t>25-04-2026</t>
  </si>
  <si>
    <t>ORD1139</t>
  </si>
  <si>
    <t>ORD1140</t>
  </si>
  <si>
    <t>25-06-2026</t>
  </si>
  <si>
    <t>ORD1141</t>
  </si>
  <si>
    <t>ORD1142</t>
  </si>
  <si>
    <t>ORD1143</t>
  </si>
  <si>
    <t>16-04-2026</t>
  </si>
  <si>
    <t>ORD1144</t>
  </si>
  <si>
    <t>20-06-2026</t>
  </si>
  <si>
    <t>ORD1145</t>
  </si>
  <si>
    <t>21-04-2026</t>
  </si>
  <si>
    <t>ORD1146</t>
  </si>
  <si>
    <t>01-04-2026</t>
  </si>
  <si>
    <t>ORD1147</t>
  </si>
  <si>
    <t>ORD1148</t>
  </si>
  <si>
    <t>ORD1149</t>
  </si>
  <si>
    <t>08-01-2026</t>
  </si>
  <si>
    <t>ORD1150</t>
  </si>
  <si>
    <t>ORD1151</t>
  </si>
  <si>
    <t>07-04-2026</t>
  </si>
  <si>
    <t>ORD1152</t>
  </si>
  <si>
    <t>ORD1153</t>
  </si>
  <si>
    <t>ORD1154</t>
  </si>
  <si>
    <t>Jacket</t>
  </si>
  <si>
    <t>ORD1155</t>
  </si>
  <si>
    <t>12-04-2026</t>
  </si>
  <si>
    <t>ORD1156</t>
  </si>
  <si>
    <t>16-03-2026</t>
  </si>
  <si>
    <t>ORD1157</t>
  </si>
  <si>
    <t>17-05-2026</t>
  </si>
  <si>
    <t>ORD1158</t>
  </si>
  <si>
    <t>ORD1159</t>
  </si>
  <si>
    <t>ORD1160</t>
  </si>
  <si>
    <t>ORD1161</t>
  </si>
  <si>
    <t>ORD1162</t>
  </si>
  <si>
    <t>15-06-2026</t>
  </si>
  <si>
    <t>ORD1163</t>
  </si>
  <si>
    <t>ORD1164</t>
  </si>
  <si>
    <t>ORD1165</t>
  </si>
  <si>
    <t>ORD1166</t>
  </si>
  <si>
    <t>ORD1167</t>
  </si>
  <si>
    <t>ORD1168</t>
  </si>
  <si>
    <t>ORD1169</t>
  </si>
  <si>
    <t>11-01-2026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</si>
  <si>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</si>
  <si>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</si>
  <si>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</si>
  <si>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</si>
  <si>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</si>
  <si>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</si>
  <si>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</si>
  <si>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</si>
  <si>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04-04-2026</t>
  </si>
  <si>
    <t>ORD1178</t>
  </si>
  <si>
    <t>03-03-2026</t>
  </si>
  <si>
    <t>ORD1179</t>
  </si>
  <si>
    <t>ORD1180</t>
  </si>
  <si>
    <t>06-04-2026</t>
  </si>
  <si>
    <t>ORD1181</t>
  </si>
  <si>
    <t>26-04-2026</t>
  </si>
  <si>
    <t>ORD1182</t>
  </si>
  <si>
    <t>17-04-2026</t>
  </si>
  <si>
    <t>ORD1183</t>
  </si>
  <si>
    <t>ORD1184</t>
  </si>
  <si>
    <t>01-05-2026</t>
  </si>
  <si>
    <t>ORD1185</t>
  </si>
  <si>
    <t>ORD1186</t>
  </si>
  <si>
    <t xml:space="preserve"> Meena </t>
  </si>
  <si>
    <t>ORD1187</t>
  </si>
  <si>
    <t>ORD1188</t>
  </si>
  <si>
    <t>ORD1189</t>
  </si>
  <si>
    <t>ORD1190</t>
  </si>
  <si>
    <t>ORD1191</t>
  </si>
  <si>
    <t>ORD1192</t>
  </si>
  <si>
    <t>28-04-2026</t>
  </si>
  <si>
    <t>ORD1193</t>
  </si>
  <si>
    <t>12-05-2026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</si>
  <si>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</si>
  <si>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</si>
  <si>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</si>
  <si>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</si>
  <si>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</si>
  <si>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</si>
  <si>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</si>
  <si>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</si>
  <si>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</si>
  <si>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05-03-2026</t>
  </si>
  <si>
    <t>ORD1203</t>
  </si>
  <si>
    <t>ORD1204</t>
  </si>
  <si>
    <t>ORD1205</t>
  </si>
  <si>
    <t>ORD1206</t>
  </si>
  <si>
    <t>ORD1207</t>
  </si>
  <si>
    <t>06-06-2026</t>
  </si>
  <si>
    <t>ORD1208</t>
  </si>
  <si>
    <t>ORD1209</t>
  </si>
  <si>
    <t>ORD1210</t>
  </si>
  <si>
    <t>ORD1211</t>
  </si>
  <si>
    <t>20-02-2026</t>
  </si>
  <si>
    <t>ORD1212</t>
  </si>
  <si>
    <t>09-02-2026</t>
  </si>
  <si>
    <t>ORD1213</t>
  </si>
  <si>
    <t>ORD1214</t>
  </si>
  <si>
    <t>14-06-2026</t>
  </si>
  <si>
    <t>ORD1215</t>
  </si>
  <si>
    <t>ORD1216</t>
  </si>
  <si>
    <t>ORD1217</t>
  </si>
  <si>
    <t>ORD1218</t>
  </si>
  <si>
    <t>25-01-2026</t>
  </si>
  <si>
    <t>ORD1219</t>
  </si>
  <si>
    <t>ORD1220</t>
  </si>
  <si>
    <t>ORD1221</t>
  </si>
  <si>
    <t>ORD1222</t>
  </si>
  <si>
    <t>ORD1223</t>
  </si>
  <si>
    <t>14-01-2026</t>
  </si>
  <si>
    <t>ORD1224</t>
  </si>
  <si>
    <t>ORD1225</t>
  </si>
  <si>
    <t>ORD1226</t>
  </si>
  <si>
    <t>13-04-2026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</si>
  <si>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</si>
  <si>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</si>
  <si>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</si>
  <si>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</si>
  <si>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</si>
  <si>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</si>
  <si>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</si>
  <si>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</si>
  <si>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</si>
  <si>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</si>
  <si>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</si>
  <si>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</si>
  <si>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</si>
  <si>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</si>
  <si>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26-03-2026</t>
  </si>
  <si>
    <t>ORD1241</t>
  </si>
  <si>
    <t>03-05-2026</t>
  </si>
  <si>
    <t>ORD1242</t>
  </si>
  <si>
    <t>01-03-2026</t>
  </si>
  <si>
    <t>ORD1243</t>
  </si>
  <si>
    <t>ORD1244</t>
  </si>
  <si>
    <t>ORD1245</t>
  </si>
  <si>
    <t>ORD1246</t>
  </si>
  <si>
    <t>ORD1247</t>
  </si>
  <si>
    <t>23-01-2026</t>
  </si>
  <si>
    <t>ORD1248</t>
  </si>
  <si>
    <t>ORD1249</t>
  </si>
  <si>
    <t>03-01-2026</t>
  </si>
  <si>
    <t>ORD1250</t>
  </si>
  <si>
    <t>ORD1251</t>
  </si>
  <si>
    <t>ORD1252</t>
  </si>
  <si>
    <t>ORD1253</t>
  </si>
  <si>
    <t>16-01-2026</t>
  </si>
  <si>
    <t>ORD1254</t>
  </si>
  <si>
    <t>24-04-2026</t>
  </si>
  <si>
    <t>ORD1255</t>
  </si>
  <si>
    <t>03-02-2026</t>
  </si>
  <si>
    <t>ORD1256</t>
  </si>
  <si>
    <t>ORD1257</t>
  </si>
  <si>
    <t>ORD1258</t>
  </si>
  <si>
    <t>ORD1259</t>
  </si>
  <si>
    <t>24-06-2026</t>
  </si>
  <si>
    <t>ORD1260</t>
  </si>
  <si>
    <t>ORD1261</t>
  </si>
  <si>
    <t>28-02-2026</t>
  </si>
  <si>
    <t>ORD1262</t>
  </si>
  <si>
    <t>ORD1263</t>
  </si>
  <si>
    <t>ORD1264</t>
  </si>
  <si>
    <t>ORD1265</t>
  </si>
  <si>
    <t>ORD1266</t>
  </si>
  <si>
    <t>ORD1267</t>
  </si>
  <si>
    <t>15-05-2026</t>
  </si>
  <si>
    <t>ORD1268</t>
  </si>
  <si>
    <t>02-05-2026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</si>
  <si>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</si>
  <si>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</si>
  <si>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</si>
  <si>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</si>
  <si>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</si>
  <si>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</si>
  <si>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</si>
  <si>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</si>
  <si>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</si>
  <si>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</si>
  <si>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</si>
  <si>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</si>
  <si>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</si>
  <si>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</si>
  <si>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</si>
  <si>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</si>
  <si>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</si>
  <si>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</si>
  <si>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</si>
  <si>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</si>
  <si>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</si>
  <si>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</si>
  <si>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</si>
  <si>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</si>
  <si>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</si>
  <si>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</si>
  <si>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</si>
  <si>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23-03-2026</t>
  </si>
  <si>
    <t>ORD1296</t>
  </si>
  <si>
    <t>ORD1297</t>
  </si>
  <si>
    <t>ORD1298</t>
  </si>
  <si>
    <t>ORD1299</t>
  </si>
  <si>
    <t>ORD1300</t>
  </si>
  <si>
    <t>ORD1301</t>
  </si>
  <si>
    <t>ORD1302</t>
  </si>
  <si>
    <t>08-06-2026</t>
  </si>
  <si>
    <t>ORD1303</t>
  </si>
  <si>
    <t>ORD1304</t>
  </si>
  <si>
    <t>27-06-2026</t>
  </si>
  <si>
    <t>ORD1305</t>
  </si>
  <si>
    <t>ORD1306</t>
  </si>
  <si>
    <t>ORD1307</t>
  </si>
  <si>
    <t>ORD1308</t>
  </si>
  <si>
    <t>30-05-2026</t>
  </si>
  <si>
    <t>ORD1309</t>
  </si>
  <si>
    <t>ORD1310</t>
  </si>
  <si>
    <t>ORD1311</t>
  </si>
  <si>
    <t>ORD1312</t>
  </si>
  <si>
    <t>ORD1313</t>
  </si>
  <si>
    <t>04-05-2026</t>
  </si>
  <si>
    <t>ORD1314</t>
  </si>
  <si>
    <t>12-01-2026</t>
  </si>
  <si>
    <t>ORD1315</t>
  </si>
  <si>
    <t>ORD1316</t>
  </si>
  <si>
    <t>11-06-2026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</si>
  <si>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</si>
  <si>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</si>
  <si>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</si>
  <si>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</si>
  <si>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</si>
  <si>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</si>
  <si>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</si>
  <si>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</si>
  <si>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05-05-2026</t>
  </si>
  <si>
    <t>ORD1325</t>
  </si>
  <si>
    <t>ORD1326</t>
  </si>
  <si>
    <t>ORD1327</t>
  </si>
  <si>
    <t>ORD1328</t>
  </si>
  <si>
    <t>ORD1329</t>
  </si>
  <si>
    <t>ORD1330</t>
  </si>
  <si>
    <t>ORD1331</t>
  </si>
  <si>
    <t>13-02-2026</t>
  </si>
  <si>
    <t>ORD1332</t>
  </si>
  <si>
    <t>ORD1333</t>
  </si>
  <si>
    <t>ORD1334</t>
  </si>
  <si>
    <t>ORD1335</t>
  </si>
  <si>
    <t>ORD1336</t>
  </si>
  <si>
    <t>07-05-2026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</si>
  <si>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</si>
  <si>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</si>
  <si>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</si>
  <si>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</si>
  <si>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</si>
  <si>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</si>
  <si>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</si>
  <si>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</si>
  <si>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</si>
  <si>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</si>
  <si>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</si>
  <si>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</si>
  <si>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</si>
  <si>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</si>
  <si>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</si>
  <si>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 xml:space="preserve"> Prakash </t>
  </si>
  <si>
    <t>ORD1352</t>
  </si>
  <si>
    <t>21-03-2026</t>
  </si>
  <si>
    <t>ORD1353</t>
  </si>
  <si>
    <t>ORD1354</t>
  </si>
  <si>
    <t>ORD1355</t>
  </si>
  <si>
    <t>11-02-2026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</si>
  <si>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</si>
  <si>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</si>
  <si>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</si>
  <si>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</si>
  <si>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</si>
  <si>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</si>
  <si>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</si>
  <si>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</si>
  <si>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</si>
  <si>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</si>
  <si>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</si>
  <si>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22-02-2026</t>
  </si>
  <si>
    <t>ORD1367</t>
  </si>
  <si>
    <t>ORD1368</t>
  </si>
  <si>
    <t>ORD1369</t>
  </si>
  <si>
    <t>ORD1370</t>
  </si>
  <si>
    <t>20-01-2026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</si>
  <si>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</si>
  <si>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</si>
  <si>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</si>
  <si>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</si>
  <si>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</si>
  <si>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</si>
  <si>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</si>
  <si>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</si>
  <si>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13-01-2026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</si>
  <si>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</si>
  <si>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</si>
  <si>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</si>
  <si>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</si>
  <si>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</si>
  <si>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</si>
  <si>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</si>
  <si>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</si>
  <si>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</si>
  <si>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</si>
  <si>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</si>
  <si>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</si>
  <si>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</si>
  <si>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</si>
  <si>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</si>
  <si>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</si>
  <si>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</si>
  <si>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</si>
  <si>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</si>
  <si>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</si>
  <si>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09-01-2026</t>
  </si>
  <si>
    <t>ORD1399</t>
  </si>
  <si>
    <t>ORD1400</t>
  </si>
  <si>
    <t>ORD1401</t>
  </si>
  <si>
    <t>ORD1402</t>
  </si>
  <si>
    <t>27-05-2026</t>
  </si>
  <si>
    <t>ORD1403</t>
  </si>
  <si>
    <t>ORD1404</t>
  </si>
  <si>
    <t>ORD1405</t>
  </si>
  <si>
    <t>ORD1406</t>
  </si>
  <si>
    <t>ORD1407</t>
  </si>
  <si>
    <t>08-02-2026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</si>
  <si>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</si>
  <si>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</si>
  <si>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</si>
  <si>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</si>
  <si>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</si>
  <si>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</si>
  <si>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</si>
  <si>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</si>
  <si>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</si>
  <si>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</si>
  <si>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</si>
  <si>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</si>
  <si>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</si>
  <si>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</si>
  <si>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</si>
  <si>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</si>
  <si>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</si>
  <si>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</si>
  <si>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</si>
  <si>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</si>
  <si>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</si>
  <si>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</si>
  <si>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</si>
  <si>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</si>
  <si>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</si>
  <si>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</si>
  <si>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13-06-2026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</si>
  <si>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</si>
  <si>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</si>
  <si>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</si>
  <si>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</si>
  <si>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</si>
  <si>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</si>
  <si>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</si>
  <si>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</si>
  <si>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</si>
  <si>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</si>
  <si>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</si>
  <si>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</si>
  <si>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</si>
  <si>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</si>
  <si>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</si>
  <si>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</si>
  <si>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</si>
  <si>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</si>
  <si>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</si>
  <si>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</si>
  <si>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</si>
  <si>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</si>
  <si>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</si>
  <si>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</si>
  <si>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</si>
  <si>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</si>
  <si>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01-06-2026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</si>
  <si>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</si>
  <si>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</si>
  <si>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</si>
  <si>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</si>
  <si>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</si>
  <si>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</si>
  <si>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</si>
  <si>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</si>
  <si>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</si>
  <si>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</si>
  <si>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</si>
  <si>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</si>
  <si>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07-03-2026</t>
  </si>
  <si>
    <t>ORD1472</t>
  </si>
  <si>
    <t>ORD1473</t>
  </si>
  <si>
    <t>ORD1474</t>
  </si>
  <si>
    <t>11-05-2026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</si>
  <si>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</si>
  <si>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</si>
  <si>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</si>
  <si>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</si>
  <si>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</si>
  <si>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</si>
  <si>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</si>
  <si>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</si>
  <si>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</si>
  <si>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</si>
  <si>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</si>
  <si>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</si>
  <si>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</si>
  <si>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</si>
  <si>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21-05-2026</t>
  </si>
  <si>
    <t>ORD1489</t>
  </si>
  <si>
    <t>ORD1490</t>
  </si>
  <si>
    <t>ORD1491</t>
  </si>
  <si>
    <t>ORD1492</t>
  </si>
  <si>
    <t>04-03-2026</t>
  </si>
  <si>
    <t>ORD1493</t>
  </si>
  <si>
    <t>ORD1494</t>
  </si>
  <si>
    <t>16-06-2026</t>
  </si>
  <si>
    <t>ORD1495</t>
  </si>
  <si>
    <t>02-01-2026</t>
  </si>
  <si>
    <t>ORD1496</t>
  </si>
  <si>
    <t>ORD1497</t>
  </si>
  <si>
    <t>ORD1498</t>
  </si>
  <si>
    <t>ORD1499</t>
  </si>
  <si>
    <t>ORD1500</t>
  </si>
  <si>
    <t>Sales Amount</t>
  </si>
  <si>
    <t>Month Name</t>
  </si>
  <si>
    <t>Month</t>
  </si>
  <si>
    <t>Start of Month</t>
  </si>
  <si>
    <t>January</t>
  </si>
  <si>
    <t>Upi</t>
  </si>
  <si>
    <t>February</t>
  </si>
  <si>
    <t>Not given</t>
  </si>
  <si>
    <t>March</t>
  </si>
  <si>
    <t>April</t>
  </si>
  <si>
    <t>May</t>
  </si>
  <si>
    <t>June</t>
  </si>
  <si>
    <t>Total Sales</t>
  </si>
  <si>
    <t>Grand Total</t>
  </si>
  <si>
    <t>Jan</t>
  </si>
  <si>
    <t>Feb</t>
  </si>
  <si>
    <t>Mar</t>
  </si>
  <si>
    <t>Apr</t>
  </si>
  <si>
    <t>Jun</t>
  </si>
  <si>
    <t>Sum of Sales Amount</t>
  </si>
  <si>
    <t>Total Orders</t>
  </si>
  <si>
    <t>Total Quantity</t>
  </si>
  <si>
    <t>Average Order Value</t>
  </si>
  <si>
    <t>Products</t>
  </si>
  <si>
    <t>Order Satus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</si>
</sst>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[Ecommerce_Sales_Raw_Dataset.xlsx]Pivot Tables!PivotTable5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Tables'!$C$4:$C$8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'Pivot Tables'!$D$4:$D$8</c:f>
              <c:numCache>
                <c:formatCode>General</c:formatCode>
                <c:ptCount val="4"/>
                <c:pt idx="0">
                  <c:v>582245</c:v>
                </c:pt>
                <c:pt idx="1">
                  <c:v>508920</c:v>
                </c:pt>
                <c:pt idx="2">
                  <c:v>497820</c:v>
                </c:pt>
                <c:pt idx="3">
                  <c:v>443377.5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9-4D77-911A-0096493DC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406111"/>
        <c:axId val="132012783"/>
      </c:barChart>
      <c:catAx>
        <c:axId val="744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2783"/>
        <c:crosses val="autoZero"/>
        <c:auto val="1"/>
        <c:lblAlgn val="ctr"/>
        <c:lblOffset val="100"/>
        <c:noMultiLvlLbl val="0"/>
      </c:catAx>
      <c:valAx>
        <c:axId val="1320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[Ecommerce_Sales_Raw_Dataset.xlsx]Pivot Tables!PivotTable1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Tables'!$A$4:$A$9</c:f>
              <c:strCache>
                <c:ptCount val="5"/>
                <c:pt idx="0">
                  <c:v>Electronics</c:v>
                </c:pt>
                <c:pt idx="1">
                  <c:v>Home</c:v>
                </c:pt>
                <c:pt idx="2">
                  <c:v>Clothing</c:v>
                </c:pt>
                <c:pt idx="3">
                  <c:v>Books</c:v>
                </c:pt>
                <c:pt idx="4">
                  <c:v>Beauty</c:v>
                </c:pt>
              </c:strCache>
            </c:strRef>
          </c:cat>
          <c:val>
            <c:numRef>
              <c:f>'Pivot Tables'!$B$4:$B$9</c:f>
              <c:numCache>
                <c:formatCode>General</c:formatCode>
                <c:ptCount val="5"/>
                <c:pt idx="0">
                  <c:v>650365</c:v>
                </c:pt>
                <c:pt idx="1">
                  <c:v>495595</c:v>
                </c:pt>
                <c:pt idx="2">
                  <c:v>474590</c:v>
                </c:pt>
                <c:pt idx="3">
                  <c:v>208072.5</c:v>
                </c:pt>
                <c:pt idx="4">
                  <c:v>207710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C-4BAC-BA51-656563DF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12383"/>
        <c:axId val="1654845199"/>
      </c:barChart>
      <c:catAx>
        <c:axId val="13191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845199"/>
        <c:crosses val="autoZero"/>
        <c:auto val="1"/>
        <c:lblAlgn val="ctr"/>
        <c:lblOffset val="100"/>
        <c:noMultiLvlLbl val="0"/>
      </c:catAx>
      <c:valAx>
        <c:axId val="16548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1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[Ecommerce_Sales_Raw_Dataset.xlsx]Pivot Tables!PivotTable3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Tables'!$A$12:$A$18</c:f>
              <c:strCache>
                <c:ptCount val="6"/>
                <c:pt idx="0">
                  <c:v>Apr</c:v>
                </c:pt>
                <c:pt idx="1">
                  <c:v>Mar</c:v>
                </c:pt>
                <c:pt idx="2">
                  <c:v>Jan</c:v>
                </c:pt>
                <c:pt idx="3">
                  <c:v>May</c:v>
                </c:pt>
                <c:pt idx="4">
                  <c:v>Jun</c:v>
                </c:pt>
                <c:pt idx="5">
                  <c:v>Feb</c:v>
                </c:pt>
              </c:strCache>
            </c:strRef>
          </c:cat>
          <c:val>
            <c:numRef>
              <c:f>'Pivot Tables'!$B$12:$B$18</c:f>
              <c:numCache>
                <c:formatCode>General</c:formatCode>
                <c:ptCount val="6"/>
                <c:pt idx="0">
                  <c:v>397655</c:v>
                </c:pt>
                <c:pt idx="1">
                  <c:v>395420</c:v>
                </c:pt>
                <c:pt idx="2">
                  <c:v>364232.5</c:v>
                </c:pt>
                <c:pt idx="3">
                  <c:v>343877.5</c:v>
                </c:pt>
                <c:pt idx="4">
                  <c:v>275247.5</c:v>
                </c:pt>
                <c:pt idx="5">
                  <c:v>259900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C-4BCE-8FB3-365A90483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756383"/>
        <c:axId val="1647199247"/>
      </c:lineChart>
      <c:catAx>
        <c:axId val="12675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199247"/>
        <c:crosses val="autoZero"/>
        <c:auto val="1"/>
        <c:lblAlgn val="ctr"/>
        <c:lblOffset val="100"/>
        <c:noMultiLvlLbl val="0"/>
      </c:catAx>
      <c:valAx>
        <c:axId val="16471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[Ecommerce_Sales_Raw_Dataset.xlsx]Pivot Tables!PivotTable6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Tables'!$C$12:$C$16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'Pivot Tables'!$D$12:$D$16</c:f>
              <c:numCache>
                <c:formatCode>General</c:formatCode>
                <c:ptCount val="4"/>
                <c:pt idx="0">
                  <c:v>478795</c:v>
                </c:pt>
                <c:pt idx="1">
                  <c:v>423362.5</c:v>
                </c:pt>
                <c:pt idx="2">
                  <c:v>469697.5</c:v>
                </c:pt>
                <c:pt idx="3">
                  <c:v>650915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4-4472-AC4A-E554D8B0B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08751"/>
        <c:axId val="131964303"/>
      </c:barChart>
      <c:catAx>
        <c:axId val="15930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4303"/>
        <c:crosses val="autoZero"/>
        <c:auto val="1"/>
        <c:lblAlgn val="ctr"/>
        <c:lblOffset val="100"/>
        <c:noMultiLvlLbl val="0"/>
      </c:catAx>
      <c:valAx>
        <c:axId val="13196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0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12</xdr:col>
      <xdr:colOff>137160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E78A1-39FC-488C-91A8-7740C6994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20</xdr:col>
      <xdr:colOff>304800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899C78-A543-4908-BE71-C5153778F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6560DB-7191-4704-A608-AEFB7420D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6</xdr:col>
      <xdr:colOff>45720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631851-6165-4A4C-AB62-C9A99C9D6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sri B" refreshedDate="46264.512411111114" createdVersion="8" refreshedVersion="8" minRefreshableVersion="3" recordCount="500" xr:uid="{88C6B653-A4EC-421D-A0F0-D14E3716C09A}">
  <cacheSource type="worksheet">
    <worksheetSource name="Cleaned_E_commerce_sales"/>
  </cacheSource>
  <cacheFields count="17">
    <cacheField name="Order ID" numFmtId="0">
      <sharedItems/>
    </cacheField>
    <cacheField name="Order Date" numFmtId="14">
      <sharedItems containsSemiMixedTypes="0" containsNonDate="0" containsDate="1" containsString="0" minDate="2026-01-01T00:00:00" maxDate="2026-07-01T00:00:00"/>
    </cacheField>
    <cacheField name="Customer" numFmtId="0">
      <sharedItems/>
    </cacheField>
    <cacheField name="Region" numFmtId="0">
      <sharedItems count="5">
        <s v="North"/>
        <s v="East"/>
        <s v="South"/>
        <s v="West"/>
        <s v="Not given"/>
      </sharedItems>
    </cacheField>
    <cacheField name="Category" numFmtId="0">
      <sharedItems count="5">
        <s v="Electronics"/>
        <s v="Home"/>
        <s v="Clothing"/>
        <s v="Beauty"/>
        <s v="Books"/>
      </sharedItems>
    </cacheField>
    <cacheField name="Product" numFmtId="0">
      <sharedItems count="25">
        <s v="Smart Watch"/>
        <s v="Coffee Maker"/>
        <s v="Sneakers"/>
        <s v="Jacket"/>
        <s v="Bluetooth Speaker"/>
        <s v="Keyboard"/>
        <s v="Perfume"/>
        <s v="Hoodie"/>
        <s v="Jeans"/>
        <s v="Bedsheet"/>
        <s v="Headphones"/>
        <s v="Table Lamp"/>
        <s v="Wireless Mouse"/>
        <s v="Data Analytics"/>
        <s v="Power BI Handbook"/>
        <s v="Wall Clock"/>
        <s v="Storage Box"/>
        <s v="SQL Guide"/>
        <s v="Excel Mastery"/>
        <s v="Python Basics"/>
        <s v="T-Shirt"/>
        <s v="Moisturizer"/>
        <s v="Shampoo"/>
        <s v="Body Lotion"/>
        <s v="Face Wash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450" maxValue="4500"/>
    </cacheField>
    <cacheField name="Discount" numFmtId="0">
      <sharedItems containsSemiMixedTypes="0" containsString="0" containsNumber="1" containsInteger="1" minValue="0" maxValue="20"/>
    </cacheField>
    <cacheField name="Payment Mode" numFmtId="0">
      <sharedItems count="5">
        <s v="Upi"/>
        <s v="Card"/>
        <s v="Cash"/>
        <s v="Net Banking"/>
        <s v="Not given"/>
      </sharedItems>
    </cacheField>
    <cacheField name="Order Status" numFmtId="0">
      <sharedItems count="4">
        <s v="Cancelled"/>
        <s v="Delivered"/>
        <s v="Returned"/>
        <s v="Pending"/>
      </sharedItems>
    </cacheField>
    <cacheField name="Sales Amount" numFmtId="0">
      <sharedItems containsSemiMixedTypes="0" containsString="0" containsNumber="1" minValue="360" maxValue="22500"/>
    </cacheField>
    <cacheField name="Month Name" numFmtId="0">
      <sharedItems/>
    </cacheField>
    <cacheField name="Month" numFmtId="0">
      <sharedItems containsSemiMixedTypes="0" containsString="0" containsNumber="1" containsInteger="1" minValue="1" maxValue="6"/>
    </cacheField>
    <cacheField name="Start of Month" numFmtId="14">
      <sharedItems containsSemiMixedTypes="0" containsNonDate="0" containsDate="1" containsString="0" minDate="2026-01-01T00:00:00" maxDate="2026-06-02T00:00:00" count="6">
        <d v="2026-01-01T00:00:00"/>
        <d v="2026-03-01T00:00:00"/>
        <d v="2026-04-01T00:00:00"/>
        <d v="2026-05-01T00:00:00"/>
        <d v="2026-02-01T00:00:00"/>
        <d v="2026-06-01T00:00:00"/>
      </sharedItems>
      <fieldGroup par="16"/>
    </cacheField>
    <cacheField name="Days (Start of Month)" numFmtId="0" databaseField="0">
      <fieldGroup base="14">
        <rangePr groupBy="days" startDate="2026-01-01T00:00:00" endDate="2026-06-02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6-2026"/>
        </groupItems>
      </fieldGroup>
    </cacheField>
    <cacheField name="Months (Start of Month)" numFmtId="0" databaseField="0">
      <fieldGroup base="14">
        <rangePr groupBy="months" startDate="2026-01-01T00:00:00" endDate="2026-06-02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1499"/>
    <d v="2026-01-02T00:00:00"/>
    <s v="Prakash"/>
    <x v="0"/>
    <x v="0"/>
    <x v="0"/>
    <n v="5"/>
    <n v="4500"/>
    <n v="0"/>
    <x v="0"/>
    <x v="0"/>
    <n v="22500"/>
    <s v="January"/>
    <n v="1"/>
    <x v="0"/>
  </r>
  <r>
    <s v="ORD1006"/>
    <d v="2026-03-17T00:00:00"/>
    <s v="Surya"/>
    <x v="1"/>
    <x v="0"/>
    <x v="0"/>
    <n v="5"/>
    <n v="4500"/>
    <n v="5"/>
    <x v="0"/>
    <x v="1"/>
    <n v="21375"/>
    <s v="March"/>
    <n v="3"/>
    <x v="1"/>
  </r>
  <r>
    <s v="ORD1213"/>
    <d v="2026-03-09T00:00:00"/>
    <s v="Prakash"/>
    <x v="2"/>
    <x v="0"/>
    <x v="0"/>
    <n v="5"/>
    <n v="4500"/>
    <n v="15"/>
    <x v="0"/>
    <x v="2"/>
    <n v="19125"/>
    <s v="March"/>
    <n v="3"/>
    <x v="1"/>
  </r>
  <r>
    <s v="ORD1368"/>
    <d v="2026-01-25T00:00:00"/>
    <s v="Manoj"/>
    <x v="2"/>
    <x v="0"/>
    <x v="0"/>
    <n v="4"/>
    <n v="4500"/>
    <n v="0"/>
    <x v="0"/>
    <x v="2"/>
    <n v="18000"/>
    <s v="January"/>
    <n v="1"/>
    <x v="0"/>
  </r>
  <r>
    <s v="ORD1370"/>
    <d v="2026-01-20T00:00:00"/>
    <s v="Vijay"/>
    <x v="2"/>
    <x v="1"/>
    <x v="1"/>
    <n v="5"/>
    <n v="3500"/>
    <n v="0"/>
    <x v="1"/>
    <x v="1"/>
    <n v="17500"/>
    <s v="January"/>
    <n v="1"/>
    <x v="0"/>
  </r>
  <r>
    <s v="ORD1399"/>
    <d v="2026-04-07T00:00:00"/>
    <s v="Divya"/>
    <x v="0"/>
    <x v="1"/>
    <x v="1"/>
    <n v="5"/>
    <n v="3500"/>
    <n v="0"/>
    <x v="2"/>
    <x v="2"/>
    <n v="17500"/>
    <s v="April"/>
    <n v="4"/>
    <x v="2"/>
  </r>
  <r>
    <s v="ORD1291"/>
    <d v="2026-03-30T00:00:00"/>
    <s v="Priya"/>
    <x v="0"/>
    <x v="0"/>
    <x v="0"/>
    <n v="4"/>
    <n v="4500"/>
    <n v="5"/>
    <x v="0"/>
    <x v="0"/>
    <n v="17100"/>
    <s v="March"/>
    <n v="3"/>
    <x v="1"/>
  </r>
  <r>
    <s v="ORD1147"/>
    <d v="2026-05-10T00:00:00"/>
    <s v="Vijay"/>
    <x v="2"/>
    <x v="0"/>
    <x v="0"/>
    <n v="4"/>
    <n v="4500"/>
    <n v="5"/>
    <x v="0"/>
    <x v="0"/>
    <n v="17100"/>
    <s v="May"/>
    <n v="5"/>
    <x v="3"/>
  </r>
  <r>
    <s v="ORD1452"/>
    <d v="2026-05-08T00:00:00"/>
    <s v="Ishita"/>
    <x v="2"/>
    <x v="0"/>
    <x v="0"/>
    <n v="4"/>
    <n v="4500"/>
    <n v="10"/>
    <x v="1"/>
    <x v="1"/>
    <n v="16200"/>
    <s v="May"/>
    <n v="5"/>
    <x v="3"/>
  </r>
  <r>
    <s v="ORD1428"/>
    <d v="2026-03-19T00:00:00"/>
    <s v="Lavanya"/>
    <x v="3"/>
    <x v="2"/>
    <x v="2"/>
    <n v="5"/>
    <n v="3200"/>
    <n v="0"/>
    <x v="0"/>
    <x v="0"/>
    <n v="16000"/>
    <s v="March"/>
    <n v="3"/>
    <x v="1"/>
  </r>
  <r>
    <s v="ORD1189"/>
    <d v="2026-04-03T00:00:00"/>
    <s v="Rahul"/>
    <x v="0"/>
    <x v="0"/>
    <x v="0"/>
    <n v="4"/>
    <n v="4500"/>
    <n v="15"/>
    <x v="0"/>
    <x v="2"/>
    <n v="15300"/>
    <s v="April"/>
    <n v="4"/>
    <x v="2"/>
  </r>
  <r>
    <s v="ORD1128"/>
    <d v="2026-01-07T00:00:00"/>
    <s v="Sneha"/>
    <x v="1"/>
    <x v="2"/>
    <x v="2"/>
    <n v="5"/>
    <n v="3200"/>
    <n v="5"/>
    <x v="0"/>
    <x v="2"/>
    <n v="15200"/>
    <s v="January"/>
    <n v="1"/>
    <x v="0"/>
  </r>
  <r>
    <s v="ORD1086"/>
    <d v="2026-01-27T00:00:00"/>
    <s v="Deepa"/>
    <x v="0"/>
    <x v="2"/>
    <x v="2"/>
    <n v="5"/>
    <n v="3200"/>
    <n v="10"/>
    <x v="3"/>
    <x v="2"/>
    <n v="14400"/>
    <s v="January"/>
    <n v="1"/>
    <x v="0"/>
  </r>
  <r>
    <s v="ORD1361"/>
    <d v="2026-03-23T00:00:00"/>
    <s v="Sanjay"/>
    <x v="0"/>
    <x v="2"/>
    <x v="2"/>
    <n v="5"/>
    <n v="3200"/>
    <n v="10"/>
    <x v="0"/>
    <x v="1"/>
    <n v="14400"/>
    <s v="March"/>
    <n v="3"/>
    <x v="1"/>
  </r>
  <r>
    <s v="ORD1374"/>
    <d v="2026-01-08T00:00:00"/>
    <s v="Suresh"/>
    <x v="3"/>
    <x v="1"/>
    <x v="1"/>
    <n v="5"/>
    <n v="3500"/>
    <n v="20"/>
    <x v="1"/>
    <x v="1"/>
    <n v="14000"/>
    <s v="January"/>
    <n v="1"/>
    <x v="0"/>
  </r>
  <r>
    <s v="ORD1440"/>
    <d v="2026-02-13T00:00:00"/>
    <s v="Akash"/>
    <x v="2"/>
    <x v="1"/>
    <x v="1"/>
    <n v="4"/>
    <n v="3500"/>
    <n v="0"/>
    <x v="1"/>
    <x v="2"/>
    <n v="14000"/>
    <s v="February"/>
    <n v="2"/>
    <x v="4"/>
  </r>
  <r>
    <s v="ORD1036"/>
    <d v="2026-04-23T00:00:00"/>
    <s v="Surya"/>
    <x v="1"/>
    <x v="1"/>
    <x v="1"/>
    <n v="5"/>
    <n v="3500"/>
    <n v="20"/>
    <x v="0"/>
    <x v="0"/>
    <n v="14000"/>
    <s v="April"/>
    <n v="4"/>
    <x v="2"/>
  </r>
  <r>
    <s v="ORD1454"/>
    <d v="2026-04-27T00:00:00"/>
    <s v="Keerthana"/>
    <x v="1"/>
    <x v="1"/>
    <x v="1"/>
    <n v="4"/>
    <n v="3500"/>
    <n v="0"/>
    <x v="0"/>
    <x v="3"/>
    <n v="14000"/>
    <s v="April"/>
    <n v="4"/>
    <x v="2"/>
  </r>
  <r>
    <s v="ORD1279"/>
    <d v="2026-05-06T00:00:00"/>
    <s v="Divya"/>
    <x v="0"/>
    <x v="2"/>
    <x v="3"/>
    <n v="5"/>
    <n v="2800"/>
    <n v="0"/>
    <x v="0"/>
    <x v="1"/>
    <n v="14000"/>
    <s v="May"/>
    <n v="5"/>
    <x v="3"/>
  </r>
  <r>
    <s v="ORD1094"/>
    <d v="2026-02-27T00:00:00"/>
    <s v="Prakash"/>
    <x v="2"/>
    <x v="0"/>
    <x v="0"/>
    <n v="3"/>
    <n v="4500"/>
    <n v="5"/>
    <x v="0"/>
    <x v="1"/>
    <n v="12825"/>
    <s v="February"/>
    <n v="2"/>
    <x v="4"/>
  </r>
  <r>
    <s v="ORD1157"/>
    <d v="2026-05-17T00:00:00"/>
    <s v="Gokul"/>
    <x v="2"/>
    <x v="2"/>
    <x v="2"/>
    <n v="5"/>
    <n v="3200"/>
    <n v="20"/>
    <x v="2"/>
    <x v="1"/>
    <n v="12800"/>
    <s v="May"/>
    <n v="5"/>
    <x v="3"/>
  </r>
  <r>
    <s v="ORD1126"/>
    <d v="2026-05-23T00:00:00"/>
    <s v="Nisha"/>
    <x v="0"/>
    <x v="2"/>
    <x v="2"/>
    <n v="4"/>
    <n v="3200"/>
    <n v="0"/>
    <x v="2"/>
    <x v="1"/>
    <n v="12800"/>
    <s v="May"/>
    <n v="5"/>
    <x v="3"/>
  </r>
  <r>
    <s v="ORD1437"/>
    <d v="2026-01-31T00:00:00"/>
    <s v="Deepa"/>
    <x v="3"/>
    <x v="2"/>
    <x v="3"/>
    <n v="5"/>
    <n v="2800"/>
    <n v="10"/>
    <x v="3"/>
    <x v="1"/>
    <n v="12600"/>
    <s v="January"/>
    <n v="1"/>
    <x v="0"/>
  </r>
  <r>
    <s v="ORD1391"/>
    <d v="2026-02-10T00:00:00"/>
    <s v="Aishwarya"/>
    <x v="3"/>
    <x v="1"/>
    <x v="1"/>
    <n v="4"/>
    <n v="3500"/>
    <n v="10"/>
    <x v="1"/>
    <x v="0"/>
    <n v="12600"/>
    <s v="February"/>
    <n v="2"/>
    <x v="4"/>
  </r>
  <r>
    <s v="ORD1347"/>
    <d v="2026-05-13T00:00:00"/>
    <s v="Sneha"/>
    <x v="2"/>
    <x v="1"/>
    <x v="1"/>
    <n v="4"/>
    <n v="3500"/>
    <n v="10"/>
    <x v="0"/>
    <x v="3"/>
    <n v="12600"/>
    <s v="May"/>
    <n v="5"/>
    <x v="3"/>
  </r>
  <r>
    <s v="ORD1426"/>
    <d v="2026-02-03T00:00:00"/>
    <s v="Prakash"/>
    <x v="2"/>
    <x v="0"/>
    <x v="4"/>
    <n v="5"/>
    <n v="2500"/>
    <n v="0"/>
    <x v="1"/>
    <x v="0"/>
    <n v="12500"/>
    <s v="February"/>
    <n v="2"/>
    <x v="4"/>
  </r>
  <r>
    <s v="ORD1180"/>
    <d v="2026-04-06T00:00:00"/>
    <s v="Harini"/>
    <x v="0"/>
    <x v="0"/>
    <x v="4"/>
    <n v="5"/>
    <n v="2500"/>
    <n v="0"/>
    <x v="2"/>
    <x v="1"/>
    <n v="12500"/>
    <s v="April"/>
    <n v="4"/>
    <x v="2"/>
  </r>
  <r>
    <s v="ORD1483"/>
    <d v="2026-04-10T00:00:00"/>
    <s v="Pooja"/>
    <x v="1"/>
    <x v="0"/>
    <x v="4"/>
    <n v="5"/>
    <n v="2500"/>
    <n v="0"/>
    <x v="0"/>
    <x v="0"/>
    <n v="12500"/>
    <s v="April"/>
    <n v="4"/>
    <x v="2"/>
  </r>
  <r>
    <s v="ORD1307"/>
    <d v="2026-03-06T00:00:00"/>
    <s v="Lavanya"/>
    <x v="2"/>
    <x v="1"/>
    <x v="1"/>
    <n v="4"/>
    <n v="3500"/>
    <n v="15"/>
    <x v="0"/>
    <x v="2"/>
    <n v="11900"/>
    <s v="March"/>
    <n v="3"/>
    <x v="1"/>
  </r>
  <r>
    <s v="ORD1406"/>
    <d v="2026-01-12T00:00:00"/>
    <s v="Sanjay"/>
    <x v="3"/>
    <x v="2"/>
    <x v="2"/>
    <n v="4"/>
    <n v="3200"/>
    <n v="10"/>
    <x v="1"/>
    <x v="0"/>
    <n v="11520"/>
    <s v="January"/>
    <n v="1"/>
    <x v="0"/>
  </r>
  <r>
    <s v="ORD1172"/>
    <d v="2026-06-19T00:00:00"/>
    <s v="Karthik"/>
    <x v="1"/>
    <x v="0"/>
    <x v="0"/>
    <n v="3"/>
    <n v="4500"/>
    <n v="15"/>
    <x v="1"/>
    <x v="1"/>
    <n v="11475"/>
    <s v="June"/>
    <n v="6"/>
    <x v="5"/>
  </r>
  <r>
    <s v="ORD1380"/>
    <d v="2026-06-08T00:00:00"/>
    <s v="Sneha"/>
    <x v="2"/>
    <x v="0"/>
    <x v="0"/>
    <n v="3"/>
    <n v="4500"/>
    <n v="15"/>
    <x v="3"/>
    <x v="2"/>
    <n v="11475"/>
    <s v="June"/>
    <n v="6"/>
    <x v="5"/>
  </r>
  <r>
    <s v="ORD1225"/>
    <d v="2026-04-06T00:00:00"/>
    <s v="Kavya"/>
    <x v="1"/>
    <x v="0"/>
    <x v="4"/>
    <n v="5"/>
    <n v="2500"/>
    <n v="10"/>
    <x v="1"/>
    <x v="3"/>
    <n v="11250"/>
    <s v="April"/>
    <n v="4"/>
    <x v="2"/>
  </r>
  <r>
    <s v="ORD1063"/>
    <d v="2026-04-18T00:00:00"/>
    <s v="Suresh"/>
    <x v="0"/>
    <x v="0"/>
    <x v="5"/>
    <n v="5"/>
    <n v="2200"/>
    <n v="0"/>
    <x v="3"/>
    <x v="1"/>
    <n v="11000"/>
    <s v="April"/>
    <n v="4"/>
    <x v="2"/>
  </r>
  <r>
    <s v="ORD1013"/>
    <d v="2026-06-10T00:00:00"/>
    <s v="Divya"/>
    <x v="3"/>
    <x v="0"/>
    <x v="5"/>
    <n v="5"/>
    <n v="2200"/>
    <n v="0"/>
    <x v="3"/>
    <x v="2"/>
    <n v="11000"/>
    <s v="June"/>
    <n v="6"/>
    <x v="5"/>
  </r>
  <r>
    <s v="ORD1080"/>
    <d v="2026-05-06T00:00:00"/>
    <s v="Harini"/>
    <x v="2"/>
    <x v="2"/>
    <x v="2"/>
    <n v="4"/>
    <n v="3200"/>
    <n v="15"/>
    <x v="3"/>
    <x v="1"/>
    <n v="10880"/>
    <s v="May"/>
    <n v="5"/>
    <x v="3"/>
  </r>
  <r>
    <s v="ORD1333"/>
    <d v="2026-05-06T00:00:00"/>
    <s v="Karthik"/>
    <x v="1"/>
    <x v="2"/>
    <x v="2"/>
    <n v="4"/>
    <n v="3200"/>
    <n v="15"/>
    <x v="3"/>
    <x v="1"/>
    <n v="10880"/>
    <s v="May"/>
    <n v="5"/>
    <x v="3"/>
  </r>
  <r>
    <s v="ORD1316"/>
    <d v="2026-06-11T00:00:00"/>
    <s v="Divya"/>
    <x v="2"/>
    <x v="2"/>
    <x v="2"/>
    <n v="4"/>
    <n v="3200"/>
    <n v="15"/>
    <x v="0"/>
    <x v="3"/>
    <n v="10880"/>
    <s v="June"/>
    <n v="6"/>
    <x v="5"/>
  </r>
  <r>
    <s v="ORD1160"/>
    <d v="2026-01-28T00:00:00"/>
    <s v="Ananya"/>
    <x v="3"/>
    <x v="0"/>
    <x v="4"/>
    <n v="5"/>
    <n v="2500"/>
    <n v="15"/>
    <x v="0"/>
    <x v="2"/>
    <n v="10625"/>
    <s v="January"/>
    <n v="1"/>
    <x v="0"/>
  </r>
  <r>
    <s v="ORD1121"/>
    <d v="2026-03-12T00:00:00"/>
    <s v="Arun"/>
    <x v="2"/>
    <x v="0"/>
    <x v="4"/>
    <n v="5"/>
    <n v="2500"/>
    <n v="15"/>
    <x v="2"/>
    <x v="3"/>
    <n v="10625"/>
    <s v="March"/>
    <n v="3"/>
    <x v="1"/>
  </r>
  <r>
    <s v="ORD1083"/>
    <d v="2026-01-31T00:00:00"/>
    <s v="Aishwarya"/>
    <x v="2"/>
    <x v="1"/>
    <x v="1"/>
    <n v="3"/>
    <n v="3500"/>
    <n v="0"/>
    <x v="1"/>
    <x v="3"/>
    <n v="10500"/>
    <s v="January"/>
    <n v="1"/>
    <x v="0"/>
  </r>
  <r>
    <s v="ORD1030"/>
    <d v="2026-01-15T00:00:00"/>
    <s v="Akash"/>
    <x v="0"/>
    <x v="1"/>
    <x v="1"/>
    <n v="3"/>
    <n v="3500"/>
    <n v="0"/>
    <x v="0"/>
    <x v="2"/>
    <n v="10500"/>
    <s v="January"/>
    <n v="1"/>
    <x v="0"/>
  </r>
  <r>
    <s v="ORD1085"/>
    <d v="2026-03-19T00:00:00"/>
    <s v="Arun"/>
    <x v="2"/>
    <x v="1"/>
    <x v="1"/>
    <n v="3"/>
    <n v="3500"/>
    <n v="0"/>
    <x v="0"/>
    <x v="0"/>
    <n v="10500"/>
    <s v="March"/>
    <n v="3"/>
    <x v="1"/>
  </r>
  <r>
    <s v="ORD1008"/>
    <d v="2026-04-05T00:00:00"/>
    <s v="Nisha"/>
    <x v="2"/>
    <x v="1"/>
    <x v="1"/>
    <n v="3"/>
    <n v="3500"/>
    <n v="0"/>
    <x v="1"/>
    <x v="3"/>
    <n v="10500"/>
    <s v="April"/>
    <n v="4"/>
    <x v="2"/>
  </r>
  <r>
    <s v="ORD1037"/>
    <d v="2026-03-09T00:00:00"/>
    <s v="Meena"/>
    <x v="0"/>
    <x v="0"/>
    <x v="5"/>
    <n v="5"/>
    <n v="2200"/>
    <n v="5"/>
    <x v="2"/>
    <x v="0"/>
    <n v="10450"/>
    <s v="March"/>
    <n v="3"/>
    <x v="1"/>
  </r>
  <r>
    <s v="ORD1058"/>
    <d v="2026-02-04T00:00:00"/>
    <s v="Kavya"/>
    <x v="3"/>
    <x v="0"/>
    <x v="4"/>
    <n v="5"/>
    <n v="2500"/>
    <n v="20"/>
    <x v="2"/>
    <x v="2"/>
    <n v="10000"/>
    <s v="February"/>
    <n v="2"/>
    <x v="4"/>
  </r>
  <r>
    <s v="ORD1138"/>
    <d v="2026-04-25T00:00:00"/>
    <s v="Dinesh"/>
    <x v="1"/>
    <x v="0"/>
    <x v="4"/>
    <n v="5"/>
    <n v="2500"/>
    <n v="20"/>
    <x v="0"/>
    <x v="2"/>
    <n v="10000"/>
    <s v="April"/>
    <n v="4"/>
    <x v="2"/>
  </r>
  <r>
    <s v="ORD1466"/>
    <d v="2026-04-25T00:00:00"/>
    <s v="Rohit"/>
    <x v="0"/>
    <x v="0"/>
    <x v="4"/>
    <n v="4"/>
    <n v="2500"/>
    <n v="0"/>
    <x v="0"/>
    <x v="2"/>
    <n v="10000"/>
    <s v="April"/>
    <n v="4"/>
    <x v="2"/>
  </r>
  <r>
    <s v="ORD1187"/>
    <d v="2026-06-02T00:00:00"/>
    <s v="Harini"/>
    <x v="0"/>
    <x v="0"/>
    <x v="4"/>
    <n v="5"/>
    <n v="2500"/>
    <n v="20"/>
    <x v="1"/>
    <x v="3"/>
    <n v="10000"/>
    <s v="June"/>
    <n v="6"/>
    <x v="5"/>
  </r>
  <r>
    <s v="ORD1105"/>
    <d v="2026-05-08T00:00:00"/>
    <s v="Ishita"/>
    <x v="1"/>
    <x v="0"/>
    <x v="5"/>
    <n v="5"/>
    <n v="2200"/>
    <n v="10"/>
    <x v="3"/>
    <x v="2"/>
    <n v="9900"/>
    <s v="May"/>
    <n v="5"/>
    <x v="3"/>
  </r>
  <r>
    <s v="ORD1009"/>
    <d v="2026-04-08T00:00:00"/>
    <s v="Sanjay"/>
    <x v="2"/>
    <x v="2"/>
    <x v="2"/>
    <n v="3"/>
    <n v="3200"/>
    <n v="0"/>
    <x v="1"/>
    <x v="1"/>
    <n v="9600"/>
    <s v="April"/>
    <n v="4"/>
    <x v="2"/>
  </r>
  <r>
    <s v="ORD1232"/>
    <d v="2026-03-22T00:00:00"/>
    <s v="Pooja"/>
    <x v="2"/>
    <x v="0"/>
    <x v="4"/>
    <n v="4"/>
    <n v="2500"/>
    <n v="5"/>
    <x v="3"/>
    <x v="2"/>
    <n v="9500"/>
    <s v="March"/>
    <n v="3"/>
    <x v="1"/>
  </r>
  <r>
    <s v="ORD1490"/>
    <d v="2026-02-24T00:00:00"/>
    <s v="Lavanya"/>
    <x v="1"/>
    <x v="1"/>
    <x v="1"/>
    <n v="3"/>
    <n v="3500"/>
    <n v="10"/>
    <x v="2"/>
    <x v="3"/>
    <n v="9450"/>
    <s v="February"/>
    <n v="2"/>
    <x v="4"/>
  </r>
  <r>
    <s v="ORD1212"/>
    <d v="2026-02-09T00:00:00"/>
    <s v="Divya"/>
    <x v="1"/>
    <x v="3"/>
    <x v="6"/>
    <n v="5"/>
    <n v="1800"/>
    <n v="0"/>
    <x v="4"/>
    <x v="1"/>
    <n v="9000"/>
    <s v="February"/>
    <n v="2"/>
    <x v="4"/>
  </r>
  <r>
    <s v="ORD1204"/>
    <d v="2026-01-19T00:00:00"/>
    <s v="Aditya"/>
    <x v="2"/>
    <x v="0"/>
    <x v="5"/>
    <n v="4"/>
    <n v="2200"/>
    <n v="0"/>
    <x v="2"/>
    <x v="0"/>
    <n v="8800"/>
    <s v="January"/>
    <n v="1"/>
    <x v="0"/>
  </r>
  <r>
    <s v="ORD1044"/>
    <d v="2026-02-10T00:00:00"/>
    <s v="Kavya"/>
    <x v="0"/>
    <x v="2"/>
    <x v="7"/>
    <n v="4"/>
    <n v="2200"/>
    <n v="0"/>
    <x v="3"/>
    <x v="3"/>
    <n v="8800"/>
    <s v="February"/>
    <n v="2"/>
    <x v="4"/>
  </r>
  <r>
    <s v="ORD1181"/>
    <d v="2026-04-26T00:00:00"/>
    <s v="Mohan"/>
    <x v="2"/>
    <x v="2"/>
    <x v="7"/>
    <n v="4"/>
    <n v="2200"/>
    <n v="0"/>
    <x v="1"/>
    <x v="2"/>
    <n v="8800"/>
    <s v="April"/>
    <n v="4"/>
    <x v="2"/>
  </r>
  <r>
    <s v="ORD1102"/>
    <d v="2026-05-13T00:00:00"/>
    <s v="Nisha"/>
    <x v="3"/>
    <x v="0"/>
    <x v="5"/>
    <n v="4"/>
    <n v="2200"/>
    <n v="0"/>
    <x v="1"/>
    <x v="0"/>
    <n v="8800"/>
    <s v="May"/>
    <n v="5"/>
    <x v="3"/>
  </r>
  <r>
    <s v="ORD1095"/>
    <d v="2026-06-02T00:00:00"/>
    <s v="Aishwarya"/>
    <x v="1"/>
    <x v="2"/>
    <x v="7"/>
    <n v="4"/>
    <n v="2200"/>
    <n v="0"/>
    <x v="3"/>
    <x v="0"/>
    <n v="8800"/>
    <s v="June"/>
    <n v="6"/>
    <x v="5"/>
  </r>
  <r>
    <s v="ORD1239"/>
    <d v="2026-03-03T00:00:00"/>
    <s v="Ananya"/>
    <x v="0"/>
    <x v="3"/>
    <x v="6"/>
    <n v="5"/>
    <n v="1800"/>
    <n v="5"/>
    <x v="1"/>
    <x v="1"/>
    <n v="8550"/>
    <s v="March"/>
    <n v="3"/>
    <x v="1"/>
  </r>
  <r>
    <s v="ORD1277"/>
    <d v="2026-03-26T00:00:00"/>
    <s v="Ananya"/>
    <x v="3"/>
    <x v="2"/>
    <x v="8"/>
    <n v="5"/>
    <n v="1800"/>
    <n v="5"/>
    <x v="3"/>
    <x v="0"/>
    <n v="8550"/>
    <s v="March"/>
    <n v="3"/>
    <x v="1"/>
  </r>
  <r>
    <s v="ORD1205"/>
    <d v="2026-05-19T00:00:00"/>
    <s v="Keerthana"/>
    <x v="1"/>
    <x v="0"/>
    <x v="0"/>
    <n v="2"/>
    <n v="4500"/>
    <n v="5"/>
    <x v="2"/>
    <x v="3"/>
    <n v="8550"/>
    <s v="May"/>
    <n v="5"/>
    <x v="3"/>
  </r>
  <r>
    <s v="ORD1378"/>
    <d v="2026-01-13T00:00:00"/>
    <s v="Divya"/>
    <x v="3"/>
    <x v="0"/>
    <x v="4"/>
    <n v="4"/>
    <n v="2500"/>
    <n v="15"/>
    <x v="0"/>
    <x v="2"/>
    <n v="8500"/>
    <s v="January"/>
    <n v="1"/>
    <x v="0"/>
  </r>
  <r>
    <s v="ORD1349"/>
    <d v="2026-04-10T00:00:00"/>
    <s v="Deepa"/>
    <x v="3"/>
    <x v="1"/>
    <x v="1"/>
    <n v="3"/>
    <n v="3500"/>
    <n v="20"/>
    <x v="1"/>
    <x v="2"/>
    <n v="8400"/>
    <s v="April"/>
    <n v="4"/>
    <x v="2"/>
  </r>
  <r>
    <s v="ORD1251"/>
    <d v="2026-05-03T00:00:00"/>
    <s v="Karthik"/>
    <x v="3"/>
    <x v="2"/>
    <x v="8"/>
    <n v="5"/>
    <n v="1800"/>
    <n v="10"/>
    <x v="3"/>
    <x v="2"/>
    <n v="8100"/>
    <s v="May"/>
    <n v="5"/>
    <x v="3"/>
  </r>
  <r>
    <s v="ORD1255"/>
    <d v="2026-02-03T00:00:00"/>
    <s v="Manoj"/>
    <x v="3"/>
    <x v="0"/>
    <x v="4"/>
    <n v="4"/>
    <n v="2500"/>
    <n v="20"/>
    <x v="0"/>
    <x v="2"/>
    <n v="8000"/>
    <s v="February"/>
    <n v="2"/>
    <x v="4"/>
  </r>
  <r>
    <s v="ORD1101"/>
    <d v="2026-03-24T00:00:00"/>
    <s v="Meena"/>
    <x v="3"/>
    <x v="1"/>
    <x v="9"/>
    <n v="5"/>
    <n v="1600"/>
    <n v="0"/>
    <x v="3"/>
    <x v="2"/>
    <n v="8000"/>
    <s v="March"/>
    <n v="3"/>
    <x v="1"/>
  </r>
  <r>
    <s v="ORD1170"/>
    <d v="2026-04-10T00:00:00"/>
    <s v="Pooja"/>
    <x v="1"/>
    <x v="1"/>
    <x v="9"/>
    <n v="5"/>
    <n v="1600"/>
    <n v="0"/>
    <x v="2"/>
    <x v="1"/>
    <n v="8000"/>
    <s v="April"/>
    <n v="4"/>
    <x v="2"/>
  </r>
  <r>
    <s v="ORD1177"/>
    <d v="2026-04-04T00:00:00"/>
    <s v="Lavanya"/>
    <x v="2"/>
    <x v="0"/>
    <x v="4"/>
    <n v="4"/>
    <n v="2500"/>
    <n v="20"/>
    <x v="2"/>
    <x v="2"/>
    <n v="8000"/>
    <s v="April"/>
    <n v="4"/>
    <x v="2"/>
  </r>
  <r>
    <s v="ORD1392"/>
    <d v="2026-02-14T00:00:00"/>
    <s v="Suresh"/>
    <x v="1"/>
    <x v="2"/>
    <x v="3"/>
    <n v="3"/>
    <n v="2800"/>
    <n v="5"/>
    <x v="1"/>
    <x v="1"/>
    <n v="7980"/>
    <s v="February"/>
    <n v="2"/>
    <x v="4"/>
  </r>
  <r>
    <s v="ORD1268"/>
    <d v="2026-05-02T00:00:00"/>
    <s v="Ananya"/>
    <x v="2"/>
    <x v="2"/>
    <x v="3"/>
    <n v="3"/>
    <n v="2800"/>
    <n v="5"/>
    <x v="3"/>
    <x v="1"/>
    <n v="7980"/>
    <s v="May"/>
    <n v="5"/>
    <x v="3"/>
  </r>
  <r>
    <s v="ORD1435"/>
    <d v="2026-04-01T00:00:00"/>
    <s v="Ananya"/>
    <x v="1"/>
    <x v="0"/>
    <x v="5"/>
    <n v="4"/>
    <n v="2200"/>
    <n v="10"/>
    <x v="2"/>
    <x v="0"/>
    <n v="7920"/>
    <s v="April"/>
    <n v="4"/>
    <x v="2"/>
  </r>
  <r>
    <s v="ORD1065"/>
    <d v="2026-04-22T00:00:00"/>
    <s v="Swetha"/>
    <x v="0"/>
    <x v="2"/>
    <x v="7"/>
    <n v="4"/>
    <n v="2200"/>
    <n v="10"/>
    <x v="3"/>
    <x v="3"/>
    <n v="7920"/>
    <s v="April"/>
    <n v="4"/>
    <x v="2"/>
  </r>
  <r>
    <s v="ORD1130"/>
    <d v="2026-05-18T00:00:00"/>
    <s v="Karthik"/>
    <x v="3"/>
    <x v="0"/>
    <x v="5"/>
    <n v="4"/>
    <n v="2200"/>
    <n v="10"/>
    <x v="3"/>
    <x v="3"/>
    <n v="7920"/>
    <s v="May"/>
    <n v="5"/>
    <x v="3"/>
  </r>
  <r>
    <s v="ORD1234"/>
    <d v="2026-05-17T00:00:00"/>
    <s v="Rohit"/>
    <x v="1"/>
    <x v="2"/>
    <x v="2"/>
    <n v="3"/>
    <n v="3200"/>
    <n v="20"/>
    <x v="3"/>
    <x v="3"/>
    <n v="7680"/>
    <s v="May"/>
    <n v="5"/>
    <x v="3"/>
  </r>
  <r>
    <s v="ORD1108"/>
    <d v="2026-05-18T00:00:00"/>
    <s v="Swetha"/>
    <x v="1"/>
    <x v="2"/>
    <x v="2"/>
    <n v="3"/>
    <n v="3200"/>
    <n v="20"/>
    <x v="3"/>
    <x v="2"/>
    <n v="7680"/>
    <s v="May"/>
    <n v="5"/>
    <x v="3"/>
  </r>
  <r>
    <s v="ORD1438"/>
    <d v="2026-02-21T00:00:00"/>
    <s v="Rohit"/>
    <x v="3"/>
    <x v="2"/>
    <x v="8"/>
    <n v="5"/>
    <n v="1800"/>
    <n v="15"/>
    <x v="1"/>
    <x v="0"/>
    <n v="7650"/>
    <s v="February"/>
    <n v="2"/>
    <x v="4"/>
  </r>
  <r>
    <s v="ORD1242"/>
    <d v="2026-03-01T00:00:00"/>
    <s v="Harini"/>
    <x v="0"/>
    <x v="0"/>
    <x v="0"/>
    <n v="2"/>
    <n v="4500"/>
    <n v="15"/>
    <x v="1"/>
    <x v="1"/>
    <n v="7650"/>
    <s v="March"/>
    <n v="3"/>
    <x v="1"/>
  </r>
  <r>
    <s v="ORD1304"/>
    <d v="2026-06-27T00:00:00"/>
    <s v="Prakash"/>
    <x v="3"/>
    <x v="1"/>
    <x v="9"/>
    <n v="5"/>
    <n v="1600"/>
    <n v="5"/>
    <x v="2"/>
    <x v="2"/>
    <n v="7600"/>
    <s v="June"/>
    <n v="6"/>
    <x v="5"/>
  </r>
  <r>
    <s v="ORD1099"/>
    <d v="2026-03-31T00:00:00"/>
    <s v="Pooja"/>
    <x v="1"/>
    <x v="0"/>
    <x v="4"/>
    <n v="3"/>
    <n v="2500"/>
    <n v="0"/>
    <x v="1"/>
    <x v="0"/>
    <n v="7500"/>
    <s v="March"/>
    <n v="3"/>
    <x v="1"/>
  </r>
  <r>
    <s v="ORD1288"/>
    <d v="2026-06-25T00:00:00"/>
    <s v="Ishita"/>
    <x v="1"/>
    <x v="0"/>
    <x v="10"/>
    <n v="5"/>
    <n v="1500"/>
    <n v="0"/>
    <x v="0"/>
    <x v="3"/>
    <n v="7500"/>
    <s v="June"/>
    <n v="6"/>
    <x v="5"/>
  </r>
  <r>
    <s v="ORD1217"/>
    <d v="2026-01-28T00:00:00"/>
    <s v="Rohit"/>
    <x v="2"/>
    <x v="3"/>
    <x v="6"/>
    <n v="4"/>
    <n v="1800"/>
    <n v="0"/>
    <x v="2"/>
    <x v="2"/>
    <n v="7200"/>
    <s v="January"/>
    <n v="1"/>
    <x v="0"/>
  </r>
  <r>
    <s v="ORD1492"/>
    <d v="2026-03-04T00:00:00"/>
    <s v="Priya"/>
    <x v="1"/>
    <x v="3"/>
    <x v="6"/>
    <n v="4"/>
    <n v="1800"/>
    <n v="0"/>
    <x v="3"/>
    <x v="0"/>
    <n v="7200"/>
    <s v="March"/>
    <n v="3"/>
    <x v="1"/>
  </r>
  <r>
    <s v="ORD1203"/>
    <d v="2026-06-30T00:00:00"/>
    <s v="Aditya"/>
    <x v="2"/>
    <x v="1"/>
    <x v="9"/>
    <n v="5"/>
    <n v="1600"/>
    <n v="10"/>
    <x v="3"/>
    <x v="3"/>
    <n v="7200"/>
    <s v="June"/>
    <n v="6"/>
    <x v="5"/>
  </r>
  <r>
    <s v="ORD1221"/>
    <d v="2026-04-01T00:00:00"/>
    <s v="Priya"/>
    <x v="0"/>
    <x v="2"/>
    <x v="3"/>
    <n v="3"/>
    <n v="2800"/>
    <n v="15"/>
    <x v="3"/>
    <x v="0"/>
    <n v="7140"/>
    <s v="April"/>
    <n v="4"/>
    <x v="2"/>
  </r>
  <r>
    <s v="ORD1039"/>
    <d v="2026-03-12T00:00:00"/>
    <s v="Priya"/>
    <x v="0"/>
    <x v="0"/>
    <x v="4"/>
    <n v="3"/>
    <n v="2500"/>
    <n v="5"/>
    <x v="2"/>
    <x v="3"/>
    <n v="7125"/>
    <s v="March"/>
    <n v="3"/>
    <x v="1"/>
  </r>
  <r>
    <s v="ORD1233"/>
    <d v="2026-05-13T00:00:00"/>
    <s v="Vijay"/>
    <x v="1"/>
    <x v="0"/>
    <x v="5"/>
    <n v="4"/>
    <n v="2200"/>
    <n v="20"/>
    <x v="3"/>
    <x v="0"/>
    <n v="7040"/>
    <s v="May"/>
    <n v="5"/>
    <x v="3"/>
  </r>
  <r>
    <s v="ORD1443"/>
    <d v="2026-01-27T00:00:00"/>
    <s v="Suresh"/>
    <x v="1"/>
    <x v="1"/>
    <x v="1"/>
    <n v="2"/>
    <n v="3500"/>
    <n v="0"/>
    <x v="0"/>
    <x v="0"/>
    <n v="7000"/>
    <s v="January"/>
    <n v="1"/>
    <x v="0"/>
  </r>
  <r>
    <s v="ORD1299"/>
    <d v="2026-03-10T00:00:00"/>
    <s v="Keerthana"/>
    <x v="1"/>
    <x v="2"/>
    <x v="8"/>
    <n v="4"/>
    <n v="1800"/>
    <n v="5"/>
    <x v="0"/>
    <x v="3"/>
    <n v="6840"/>
    <s v="March"/>
    <n v="3"/>
    <x v="1"/>
  </r>
  <r>
    <s v="ORD1462"/>
    <d v="2026-06-26T00:00:00"/>
    <s v="Gokul"/>
    <x v="0"/>
    <x v="3"/>
    <x v="6"/>
    <n v="4"/>
    <n v="1800"/>
    <n v="5"/>
    <x v="3"/>
    <x v="0"/>
    <n v="6840"/>
    <s v="June"/>
    <n v="6"/>
    <x v="5"/>
  </r>
  <r>
    <s v="ORD1282"/>
    <d v="2026-05-16T00:00:00"/>
    <s v="Aishwarya"/>
    <x v="1"/>
    <x v="0"/>
    <x v="10"/>
    <n v="5"/>
    <n v="1500"/>
    <n v="10"/>
    <x v="0"/>
    <x v="2"/>
    <n v="6750"/>
    <s v="May"/>
    <n v="5"/>
    <x v="3"/>
  </r>
  <r>
    <s v="ORD1315"/>
    <d v="2026-02-14T00:00:00"/>
    <s v="Harini"/>
    <x v="2"/>
    <x v="2"/>
    <x v="3"/>
    <n v="3"/>
    <n v="2800"/>
    <n v="20"/>
    <x v="3"/>
    <x v="2"/>
    <n v="6720"/>
    <s v="February"/>
    <n v="2"/>
    <x v="4"/>
  </r>
  <r>
    <s v="ORD1484"/>
    <d v="2026-04-24T00:00:00"/>
    <s v="Surya"/>
    <x v="2"/>
    <x v="2"/>
    <x v="3"/>
    <n v="3"/>
    <n v="2800"/>
    <n v="20"/>
    <x v="1"/>
    <x v="3"/>
    <n v="6720"/>
    <s v="April"/>
    <n v="4"/>
    <x v="2"/>
  </r>
  <r>
    <s v="ORD1433"/>
    <d v="2026-06-13T00:00:00"/>
    <s v="Kavya"/>
    <x v="3"/>
    <x v="2"/>
    <x v="3"/>
    <n v="3"/>
    <n v="2800"/>
    <n v="20"/>
    <x v="2"/>
    <x v="3"/>
    <n v="6720"/>
    <s v="June"/>
    <n v="6"/>
    <x v="5"/>
  </r>
  <r>
    <s v="ORD1022"/>
    <d v="2026-01-18T00:00:00"/>
    <s v="Mohan"/>
    <x v="0"/>
    <x v="0"/>
    <x v="5"/>
    <n v="3"/>
    <n v="2200"/>
    <n v="0"/>
    <x v="1"/>
    <x v="0"/>
    <n v="6600"/>
    <s v="January"/>
    <n v="1"/>
    <x v="0"/>
  </r>
  <r>
    <s v="ORD1369"/>
    <d v="2026-03-16T00:00:00"/>
    <s v="Sanjay"/>
    <x v="1"/>
    <x v="2"/>
    <x v="8"/>
    <n v="4"/>
    <n v="1800"/>
    <n v="10"/>
    <x v="2"/>
    <x v="2"/>
    <n v="6480"/>
    <s v="March"/>
    <n v="3"/>
    <x v="1"/>
  </r>
  <r>
    <s v="ORD1045"/>
    <d v="2026-03-31T00:00:00"/>
    <s v="Keerthana"/>
    <x v="2"/>
    <x v="2"/>
    <x v="2"/>
    <n v="2"/>
    <n v="3200"/>
    <n v="0"/>
    <x v="1"/>
    <x v="2"/>
    <n v="6400"/>
    <s v="March"/>
    <n v="3"/>
    <x v="1"/>
  </r>
  <r>
    <s v="ORD1064"/>
    <d v="2026-04-10T00:00:00"/>
    <s v="Deepa"/>
    <x v="3"/>
    <x v="1"/>
    <x v="9"/>
    <n v="5"/>
    <n v="1600"/>
    <n v="20"/>
    <x v="1"/>
    <x v="2"/>
    <n v="6400"/>
    <s v="April"/>
    <n v="4"/>
    <x v="2"/>
  </r>
  <r>
    <s v="ORD1049"/>
    <d v="2026-01-01T00:00:00"/>
    <s v="Manoj"/>
    <x v="2"/>
    <x v="0"/>
    <x v="4"/>
    <n v="3"/>
    <n v="2500"/>
    <n v="15"/>
    <x v="0"/>
    <x v="0"/>
    <n v="6375"/>
    <s v="January"/>
    <n v="1"/>
    <x v="0"/>
  </r>
  <r>
    <s v="ORD1345"/>
    <d v="2026-02-05T00:00:00"/>
    <s v="Dinesh"/>
    <x v="0"/>
    <x v="0"/>
    <x v="10"/>
    <n v="5"/>
    <n v="1500"/>
    <n v="15"/>
    <x v="2"/>
    <x v="2"/>
    <n v="6375"/>
    <s v="February"/>
    <n v="2"/>
    <x v="4"/>
  </r>
  <r>
    <s v="ORD1057"/>
    <d v="2026-04-19T00:00:00"/>
    <s v="Ananya"/>
    <x v="2"/>
    <x v="0"/>
    <x v="10"/>
    <n v="5"/>
    <n v="1500"/>
    <n v="15"/>
    <x v="0"/>
    <x v="3"/>
    <n v="6375"/>
    <s v="April"/>
    <n v="4"/>
    <x v="2"/>
  </r>
  <r>
    <s v="ORD1334"/>
    <d v="2026-05-12T00:00:00"/>
    <s v="Aishwarya"/>
    <x v="1"/>
    <x v="0"/>
    <x v="4"/>
    <n v="3"/>
    <n v="2500"/>
    <n v="15"/>
    <x v="3"/>
    <x v="0"/>
    <n v="6375"/>
    <s v="May"/>
    <n v="5"/>
    <x v="3"/>
  </r>
  <r>
    <s v="ORD1033"/>
    <d v="2026-06-21T00:00:00"/>
    <s v="Gokul"/>
    <x v="1"/>
    <x v="1"/>
    <x v="1"/>
    <n v="2"/>
    <n v="3500"/>
    <n v="10"/>
    <x v="3"/>
    <x v="3"/>
    <n v="6300"/>
    <s v="June"/>
    <n v="6"/>
    <x v="5"/>
  </r>
  <r>
    <s v="ORD1135"/>
    <d v="2026-02-07T00:00:00"/>
    <s v="Kavya"/>
    <x v="0"/>
    <x v="2"/>
    <x v="7"/>
    <n v="3"/>
    <n v="2200"/>
    <n v="5"/>
    <x v="1"/>
    <x v="0"/>
    <n v="6270"/>
    <s v="February"/>
    <n v="2"/>
    <x v="4"/>
  </r>
  <r>
    <s v="ORD1053"/>
    <d v="2026-06-17T00:00:00"/>
    <s v="Rohit"/>
    <x v="3"/>
    <x v="3"/>
    <x v="6"/>
    <n v="4"/>
    <n v="1800"/>
    <n v="15"/>
    <x v="1"/>
    <x v="2"/>
    <n v="6120"/>
    <s v="June"/>
    <n v="6"/>
    <x v="5"/>
  </r>
  <r>
    <s v="ORD1332"/>
    <d v="2026-01-16T00:00:00"/>
    <s v="Sanjay"/>
    <x v="2"/>
    <x v="2"/>
    <x v="2"/>
    <n v="2"/>
    <n v="3200"/>
    <n v="5"/>
    <x v="1"/>
    <x v="0"/>
    <n v="6080"/>
    <s v="January"/>
    <n v="1"/>
    <x v="0"/>
  </r>
  <r>
    <s v="ORD1223"/>
    <d v="2026-01-14T00:00:00"/>
    <s v="Akash"/>
    <x v="2"/>
    <x v="0"/>
    <x v="4"/>
    <n v="3"/>
    <n v="2500"/>
    <n v="20"/>
    <x v="2"/>
    <x v="1"/>
    <n v="6000"/>
    <s v="January"/>
    <n v="1"/>
    <x v="0"/>
  </r>
  <r>
    <s v="ORD1297"/>
    <d v="2026-01-23T00:00:00"/>
    <s v="Nisha"/>
    <x v="0"/>
    <x v="0"/>
    <x v="10"/>
    <n v="5"/>
    <n v="1500"/>
    <n v="20"/>
    <x v="2"/>
    <x v="2"/>
    <n v="6000"/>
    <s v="January"/>
    <n v="1"/>
    <x v="0"/>
  </r>
  <r>
    <s v="ORD1002"/>
    <d v="2026-01-24T00:00:00"/>
    <s v="Vijay"/>
    <x v="2"/>
    <x v="0"/>
    <x v="10"/>
    <n v="5"/>
    <n v="1500"/>
    <n v="20"/>
    <x v="0"/>
    <x v="3"/>
    <n v="6000"/>
    <s v="January"/>
    <n v="1"/>
    <x v="0"/>
  </r>
  <r>
    <s v="ORD1186"/>
    <d v="2026-03-19T00:00:00"/>
    <s v="Meena"/>
    <x v="0"/>
    <x v="1"/>
    <x v="1"/>
    <n v="2"/>
    <n v="3500"/>
    <n v="15"/>
    <x v="3"/>
    <x v="1"/>
    <n v="5950"/>
    <s v="March"/>
    <n v="3"/>
    <x v="1"/>
  </r>
  <r>
    <s v="ORD1109"/>
    <d v="2026-06-28T00:00:00"/>
    <s v="Ananya"/>
    <x v="3"/>
    <x v="1"/>
    <x v="1"/>
    <n v="2"/>
    <n v="3500"/>
    <n v="15"/>
    <x v="0"/>
    <x v="0"/>
    <n v="5950"/>
    <s v="June"/>
    <n v="6"/>
    <x v="5"/>
  </r>
  <r>
    <s v="ORD1235"/>
    <d v="2026-05-23T00:00:00"/>
    <s v="Keerthana"/>
    <x v="2"/>
    <x v="2"/>
    <x v="7"/>
    <n v="3"/>
    <n v="2200"/>
    <n v="10"/>
    <x v="1"/>
    <x v="2"/>
    <n v="5940"/>
    <s v="May"/>
    <n v="5"/>
    <x v="3"/>
  </r>
  <r>
    <s v="ORD1456"/>
    <d v="2026-06-19T00:00:00"/>
    <s v="Prakash"/>
    <x v="2"/>
    <x v="0"/>
    <x v="5"/>
    <n v="3"/>
    <n v="2200"/>
    <n v="10"/>
    <x v="3"/>
    <x v="0"/>
    <n v="5940"/>
    <s v="June"/>
    <n v="6"/>
    <x v="5"/>
  </r>
  <r>
    <s v="ORD1055"/>
    <d v="2026-01-07T00:00:00"/>
    <s v="Priya"/>
    <x v="2"/>
    <x v="2"/>
    <x v="8"/>
    <n v="4"/>
    <n v="1800"/>
    <n v="20"/>
    <x v="0"/>
    <x v="2"/>
    <n v="5760"/>
    <s v="January"/>
    <n v="1"/>
    <x v="0"/>
  </r>
  <r>
    <s v="ORD1218"/>
    <d v="2026-01-25T00:00:00"/>
    <s v="Priya"/>
    <x v="1"/>
    <x v="2"/>
    <x v="8"/>
    <n v="4"/>
    <n v="1800"/>
    <n v="20"/>
    <x v="3"/>
    <x v="3"/>
    <n v="5760"/>
    <s v="January"/>
    <n v="1"/>
    <x v="0"/>
  </r>
  <r>
    <s v="ORD1303"/>
    <d v="2026-06-04T00:00:00"/>
    <s v="Gokul"/>
    <x v="2"/>
    <x v="1"/>
    <x v="9"/>
    <n v="4"/>
    <n v="1600"/>
    <n v="10"/>
    <x v="1"/>
    <x v="2"/>
    <n v="5760"/>
    <s v="June"/>
    <n v="6"/>
    <x v="5"/>
  </r>
  <r>
    <s v="ORD1381"/>
    <d v="2026-03-13T00:00:00"/>
    <s v="Suresh"/>
    <x v="2"/>
    <x v="0"/>
    <x v="10"/>
    <n v="4"/>
    <n v="1500"/>
    <n v="5"/>
    <x v="1"/>
    <x v="1"/>
    <n v="5700"/>
    <s v="March"/>
    <n v="3"/>
    <x v="1"/>
  </r>
  <r>
    <s v="ORD1118"/>
    <d v="2026-04-30T00:00:00"/>
    <s v="Mohan"/>
    <x v="1"/>
    <x v="1"/>
    <x v="11"/>
    <n v="5"/>
    <n v="1200"/>
    <n v="5"/>
    <x v="0"/>
    <x v="2"/>
    <n v="5700"/>
    <s v="April"/>
    <n v="4"/>
    <x v="2"/>
  </r>
  <r>
    <s v="ORD1021"/>
    <d v="2026-05-31T00:00:00"/>
    <s v="Harini"/>
    <x v="2"/>
    <x v="1"/>
    <x v="11"/>
    <n v="5"/>
    <n v="1200"/>
    <n v="5"/>
    <x v="0"/>
    <x v="1"/>
    <n v="5700"/>
    <s v="May"/>
    <n v="5"/>
    <x v="3"/>
  </r>
  <r>
    <s v="ORD1404"/>
    <d v="2026-01-21T00:00:00"/>
    <s v="Swetha"/>
    <x v="0"/>
    <x v="2"/>
    <x v="7"/>
    <n v="3"/>
    <n v="2200"/>
    <n v="15"/>
    <x v="3"/>
    <x v="2"/>
    <n v="5610"/>
    <s v="January"/>
    <n v="1"/>
    <x v="0"/>
  </r>
  <r>
    <s v="ORD1373"/>
    <d v="2026-02-07T00:00:00"/>
    <s v="Rahul"/>
    <x v="2"/>
    <x v="2"/>
    <x v="7"/>
    <n v="3"/>
    <n v="2200"/>
    <n v="15"/>
    <x v="0"/>
    <x v="0"/>
    <n v="5610"/>
    <s v="February"/>
    <n v="2"/>
    <x v="4"/>
  </r>
  <r>
    <s v="ORD1060"/>
    <d v="2026-05-14T00:00:00"/>
    <s v="Swetha"/>
    <x v="2"/>
    <x v="2"/>
    <x v="7"/>
    <n v="3"/>
    <n v="2200"/>
    <n v="15"/>
    <x v="0"/>
    <x v="0"/>
    <n v="5610"/>
    <s v="May"/>
    <n v="5"/>
    <x v="3"/>
  </r>
  <r>
    <s v="ORD1330"/>
    <d v="2026-02-05T00:00:00"/>
    <s v="Kavya"/>
    <x v="2"/>
    <x v="2"/>
    <x v="3"/>
    <n v="2"/>
    <n v="2800"/>
    <n v="0"/>
    <x v="2"/>
    <x v="0"/>
    <n v="5600"/>
    <s v="February"/>
    <n v="2"/>
    <x v="4"/>
  </r>
  <r>
    <s v="ORD1389"/>
    <d v="2026-03-24T00:00:00"/>
    <s v="Priya"/>
    <x v="0"/>
    <x v="1"/>
    <x v="1"/>
    <n v="2"/>
    <n v="3500"/>
    <n v="20"/>
    <x v="1"/>
    <x v="1"/>
    <n v="5600"/>
    <s v="March"/>
    <n v="3"/>
    <x v="1"/>
  </r>
  <r>
    <s v="ORD1346"/>
    <d v="2026-03-05T00:00:00"/>
    <s v="Sanjay"/>
    <x v="0"/>
    <x v="1"/>
    <x v="1"/>
    <n v="2"/>
    <n v="3500"/>
    <n v="20"/>
    <x v="2"/>
    <x v="1"/>
    <n v="5600"/>
    <s v="March"/>
    <n v="3"/>
    <x v="1"/>
  </r>
  <r>
    <s v="ORD1175"/>
    <d v="2026-02-05T00:00:00"/>
    <s v="Karthik"/>
    <x v="0"/>
    <x v="2"/>
    <x v="8"/>
    <n v="3"/>
    <n v="1800"/>
    <n v="0"/>
    <x v="0"/>
    <x v="0"/>
    <n v="5400"/>
    <s v="February"/>
    <n v="2"/>
    <x v="4"/>
  </r>
  <r>
    <s v="ORD1182"/>
    <d v="2026-04-17T00:00:00"/>
    <s v="Priya"/>
    <x v="3"/>
    <x v="1"/>
    <x v="11"/>
    <n v="5"/>
    <n v="1200"/>
    <n v="10"/>
    <x v="1"/>
    <x v="2"/>
    <n v="5400"/>
    <s v="April"/>
    <n v="4"/>
    <x v="2"/>
  </r>
  <r>
    <s v="ORD1005"/>
    <d v="2026-06-04T00:00:00"/>
    <s v="Sanjay"/>
    <x v="0"/>
    <x v="1"/>
    <x v="9"/>
    <n v="4"/>
    <n v="1600"/>
    <n v="20"/>
    <x v="0"/>
    <x v="2"/>
    <n v="5120"/>
    <s v="June"/>
    <n v="6"/>
    <x v="5"/>
  </r>
  <r>
    <s v="ORD1367"/>
    <d v="2026-01-12T00:00:00"/>
    <s v="Ishita"/>
    <x v="2"/>
    <x v="1"/>
    <x v="11"/>
    <n v="5"/>
    <n v="1200"/>
    <n v="15"/>
    <x v="2"/>
    <x v="2"/>
    <n v="5100"/>
    <s v="January"/>
    <n v="1"/>
    <x v="0"/>
  </r>
  <r>
    <s v="ORD1215"/>
    <d v="2026-02-10T00:00:00"/>
    <s v="Aditya"/>
    <x v="3"/>
    <x v="0"/>
    <x v="10"/>
    <n v="4"/>
    <n v="1500"/>
    <n v="15"/>
    <x v="1"/>
    <x v="0"/>
    <n v="5100"/>
    <s v="February"/>
    <n v="2"/>
    <x v="4"/>
  </r>
  <r>
    <s v="ORD1072"/>
    <d v="2026-05-29T00:00:00"/>
    <s v="Arun"/>
    <x v="1"/>
    <x v="1"/>
    <x v="11"/>
    <n v="5"/>
    <n v="1200"/>
    <n v="15"/>
    <x v="3"/>
    <x v="3"/>
    <n v="5100"/>
    <s v="May"/>
    <n v="5"/>
    <x v="3"/>
  </r>
  <r>
    <s v="ORD1024"/>
    <d v="2026-06-18T00:00:00"/>
    <s v="Pooja"/>
    <x v="1"/>
    <x v="0"/>
    <x v="10"/>
    <n v="4"/>
    <n v="1500"/>
    <n v="15"/>
    <x v="3"/>
    <x v="1"/>
    <n v="5100"/>
    <s v="June"/>
    <n v="6"/>
    <x v="5"/>
  </r>
  <r>
    <s v="ORD1178"/>
    <d v="2026-03-03T00:00:00"/>
    <s v="Keerthana"/>
    <x v="3"/>
    <x v="2"/>
    <x v="3"/>
    <n v="2"/>
    <n v="2800"/>
    <n v="10"/>
    <x v="3"/>
    <x v="2"/>
    <n v="5040"/>
    <s v="March"/>
    <n v="3"/>
    <x v="1"/>
  </r>
  <r>
    <s v="ORD1402"/>
    <d v="2026-05-27T00:00:00"/>
    <s v="Harini"/>
    <x v="3"/>
    <x v="0"/>
    <x v="4"/>
    <n v="2"/>
    <n v="2500"/>
    <n v="0"/>
    <x v="2"/>
    <x v="1"/>
    <n v="5000"/>
    <s v="May"/>
    <n v="5"/>
    <x v="3"/>
  </r>
  <r>
    <s v="ORD1400"/>
    <d v="2026-06-17T00:00:00"/>
    <s v="Divya"/>
    <x v="3"/>
    <x v="0"/>
    <x v="4"/>
    <n v="2"/>
    <n v="2500"/>
    <n v="0"/>
    <x v="0"/>
    <x v="0"/>
    <n v="5000"/>
    <s v="June"/>
    <n v="6"/>
    <x v="5"/>
  </r>
  <r>
    <s v="ORD1052"/>
    <d v="2026-03-19T00:00:00"/>
    <s v="Suresh"/>
    <x v="0"/>
    <x v="3"/>
    <x v="6"/>
    <n v="3"/>
    <n v="1800"/>
    <n v="10"/>
    <x v="1"/>
    <x v="2"/>
    <n v="4860"/>
    <s v="March"/>
    <n v="3"/>
    <x v="1"/>
  </r>
  <r>
    <s v="ORD1401"/>
    <d v="2026-04-15T00:00:00"/>
    <s v="Gokul"/>
    <x v="1"/>
    <x v="2"/>
    <x v="8"/>
    <n v="3"/>
    <n v="1800"/>
    <n v="10"/>
    <x v="1"/>
    <x v="1"/>
    <n v="4860"/>
    <s v="April"/>
    <n v="4"/>
    <x v="2"/>
  </r>
  <r>
    <s v="ORD1289"/>
    <d v="2026-02-23T00:00:00"/>
    <s v="Akash"/>
    <x v="2"/>
    <x v="1"/>
    <x v="11"/>
    <n v="4"/>
    <n v="1200"/>
    <n v="0"/>
    <x v="2"/>
    <x v="3"/>
    <n v="4800"/>
    <s v="February"/>
    <n v="2"/>
    <x v="4"/>
  </r>
  <r>
    <s v="ORD1409"/>
    <d v="2026-04-12T00:00:00"/>
    <s v="Mohan"/>
    <x v="0"/>
    <x v="1"/>
    <x v="11"/>
    <n v="5"/>
    <n v="1200"/>
    <n v="20"/>
    <x v="1"/>
    <x v="1"/>
    <n v="4800"/>
    <s v="April"/>
    <n v="4"/>
    <x v="2"/>
  </r>
  <r>
    <s v="ORD1193"/>
    <d v="2026-05-12T00:00:00"/>
    <s v="Suresh"/>
    <x v="3"/>
    <x v="1"/>
    <x v="9"/>
    <n v="3"/>
    <n v="1600"/>
    <n v="0"/>
    <x v="1"/>
    <x v="0"/>
    <n v="4800"/>
    <s v="May"/>
    <n v="5"/>
    <x v="3"/>
  </r>
  <r>
    <s v="ORD1486"/>
    <d v="2026-03-13T00:00:00"/>
    <s v="Harini"/>
    <x v="1"/>
    <x v="0"/>
    <x v="4"/>
    <n v="2"/>
    <n v="2500"/>
    <n v="5"/>
    <x v="2"/>
    <x v="1"/>
    <n v="4750"/>
    <s v="March"/>
    <n v="3"/>
    <x v="1"/>
  </r>
  <r>
    <s v="ORD1082"/>
    <d v="2026-03-30T00:00:00"/>
    <s v="Pooja"/>
    <x v="1"/>
    <x v="3"/>
    <x v="6"/>
    <n v="3"/>
    <n v="1800"/>
    <n v="15"/>
    <x v="2"/>
    <x v="0"/>
    <n v="4590"/>
    <s v="March"/>
    <n v="3"/>
    <x v="1"/>
  </r>
  <r>
    <s v="ORD1190"/>
    <d v="2026-01-05T00:00:00"/>
    <s v="Nisha"/>
    <x v="0"/>
    <x v="1"/>
    <x v="9"/>
    <n v="3"/>
    <n v="1600"/>
    <n v="5"/>
    <x v="0"/>
    <x v="0"/>
    <n v="4560"/>
    <s v="January"/>
    <n v="1"/>
    <x v="0"/>
  </r>
  <r>
    <s v="ORD1078"/>
    <d v="2026-03-25T00:00:00"/>
    <s v="Divya"/>
    <x v="3"/>
    <x v="0"/>
    <x v="4"/>
    <n v="2"/>
    <n v="2500"/>
    <n v="10"/>
    <x v="2"/>
    <x v="0"/>
    <n v="4500"/>
    <s v="March"/>
    <n v="3"/>
    <x v="1"/>
  </r>
  <r>
    <s v="ORD1494"/>
    <d v="2026-06-16T00:00:00"/>
    <s v="Vijay"/>
    <x v="1"/>
    <x v="0"/>
    <x v="12"/>
    <n v="5"/>
    <n v="900"/>
    <n v="0"/>
    <x v="0"/>
    <x v="3"/>
    <n v="4500"/>
    <s v="June"/>
    <n v="6"/>
    <x v="5"/>
  </r>
  <r>
    <s v="ORD1450"/>
    <d v="2026-06-08T00:00:00"/>
    <s v="Meena"/>
    <x v="1"/>
    <x v="0"/>
    <x v="0"/>
    <n v="1"/>
    <n v="4500"/>
    <n v="0"/>
    <x v="3"/>
    <x v="3"/>
    <n v="4500"/>
    <s v="June"/>
    <n v="6"/>
    <x v="5"/>
  </r>
  <r>
    <s v="ORD1264"/>
    <d v="2026-02-25T00:00:00"/>
    <s v="Dinesh"/>
    <x v="0"/>
    <x v="2"/>
    <x v="3"/>
    <n v="2"/>
    <n v="2800"/>
    <n v="20"/>
    <x v="2"/>
    <x v="3"/>
    <n v="4480"/>
    <s v="February"/>
    <n v="2"/>
    <x v="4"/>
  </r>
  <r>
    <s v="ORD1273"/>
    <d v="2026-06-30T00:00:00"/>
    <s v="Vijay"/>
    <x v="3"/>
    <x v="2"/>
    <x v="3"/>
    <n v="2"/>
    <n v="2800"/>
    <n v="20"/>
    <x v="2"/>
    <x v="0"/>
    <n v="4480"/>
    <s v="June"/>
    <n v="6"/>
    <x v="5"/>
  </r>
  <r>
    <s v="ORD1062"/>
    <d v="2026-01-17T00:00:00"/>
    <s v="Pooja"/>
    <x v="3"/>
    <x v="2"/>
    <x v="8"/>
    <n v="3"/>
    <n v="1800"/>
    <n v="20"/>
    <x v="3"/>
    <x v="2"/>
    <n v="4320"/>
    <s v="January"/>
    <n v="1"/>
    <x v="0"/>
  </r>
  <r>
    <s v="ORD1331"/>
    <d v="2026-02-13T00:00:00"/>
    <s v="Rohit"/>
    <x v="1"/>
    <x v="3"/>
    <x v="6"/>
    <n v="3"/>
    <n v="1800"/>
    <n v="20"/>
    <x v="2"/>
    <x v="1"/>
    <n v="4320"/>
    <s v="February"/>
    <n v="2"/>
    <x v="4"/>
  </r>
  <r>
    <s v="ORD1298"/>
    <d v="2026-04-16T00:00:00"/>
    <s v="Suresh"/>
    <x v="0"/>
    <x v="0"/>
    <x v="12"/>
    <n v="5"/>
    <n v="900"/>
    <n v="5"/>
    <x v="1"/>
    <x v="2"/>
    <n v="4275"/>
    <s v="April"/>
    <n v="4"/>
    <x v="2"/>
  </r>
  <r>
    <s v="ORD1201"/>
    <d v="2026-04-06T00:00:00"/>
    <s v="Aditya"/>
    <x v="0"/>
    <x v="4"/>
    <x v="13"/>
    <n v="5"/>
    <n v="900"/>
    <n v="5"/>
    <x v="2"/>
    <x v="2"/>
    <n v="4275"/>
    <s v="April"/>
    <n v="4"/>
    <x v="2"/>
  </r>
  <r>
    <s v="ORD1350"/>
    <d v="2026-05-31T00:00:00"/>
    <s v="Rahul"/>
    <x v="0"/>
    <x v="0"/>
    <x v="10"/>
    <n v="3"/>
    <n v="1500"/>
    <n v="5"/>
    <x v="0"/>
    <x v="1"/>
    <n v="4275"/>
    <s v="May"/>
    <n v="5"/>
    <x v="3"/>
  </r>
  <r>
    <s v="ORD1348"/>
    <d v="2026-01-29T00:00:00"/>
    <s v="Ananya"/>
    <x v="3"/>
    <x v="4"/>
    <x v="14"/>
    <n v="5"/>
    <n v="850"/>
    <n v="0"/>
    <x v="0"/>
    <x v="0"/>
    <n v="4250"/>
    <s v="January"/>
    <n v="1"/>
    <x v="0"/>
  </r>
  <r>
    <s v="ORD1100"/>
    <d v="2026-03-15T00:00:00"/>
    <s v="Lavanya"/>
    <x v="3"/>
    <x v="4"/>
    <x v="14"/>
    <n v="5"/>
    <n v="850"/>
    <n v="0"/>
    <x v="3"/>
    <x v="1"/>
    <n v="4250"/>
    <s v="March"/>
    <n v="3"/>
    <x v="1"/>
  </r>
  <r>
    <s v="ORD1272"/>
    <d v="2026-03-19T00:00:00"/>
    <s v="Ishita"/>
    <x v="0"/>
    <x v="2"/>
    <x v="7"/>
    <n v="2"/>
    <n v="2200"/>
    <n v="5"/>
    <x v="0"/>
    <x v="2"/>
    <n v="4180"/>
    <s v="March"/>
    <n v="3"/>
    <x v="1"/>
  </r>
  <r>
    <s v="ORD1061"/>
    <d v="2026-03-27T00:00:00"/>
    <s v="Rohit"/>
    <x v="0"/>
    <x v="2"/>
    <x v="7"/>
    <n v="2"/>
    <n v="2200"/>
    <n v="5"/>
    <x v="1"/>
    <x v="2"/>
    <n v="4180"/>
    <s v="March"/>
    <n v="3"/>
    <x v="1"/>
  </r>
  <r>
    <s v="ORD1219"/>
    <d v="2026-05-28T00:00:00"/>
    <s v="Aishwarya"/>
    <x v="1"/>
    <x v="2"/>
    <x v="7"/>
    <n v="2"/>
    <n v="2200"/>
    <n v="5"/>
    <x v="3"/>
    <x v="2"/>
    <n v="4180"/>
    <s v="May"/>
    <n v="5"/>
    <x v="3"/>
  </r>
  <r>
    <s v="ORD1396"/>
    <d v="2026-01-01T00:00:00"/>
    <s v="Priya"/>
    <x v="3"/>
    <x v="1"/>
    <x v="11"/>
    <n v="4"/>
    <n v="1200"/>
    <n v="15"/>
    <x v="1"/>
    <x v="2"/>
    <n v="4080"/>
    <s v="January"/>
    <n v="1"/>
    <x v="0"/>
  </r>
  <r>
    <s v="ORD1366"/>
    <d v="2026-02-22T00:00:00"/>
    <s v="Manoj"/>
    <x v="2"/>
    <x v="1"/>
    <x v="11"/>
    <n v="4"/>
    <n v="1200"/>
    <n v="15"/>
    <x v="0"/>
    <x v="3"/>
    <n v="4080"/>
    <s v="February"/>
    <n v="2"/>
    <x v="4"/>
  </r>
  <r>
    <s v="ORD1276"/>
    <d v="2026-02-26T00:00:00"/>
    <s v="Aishwarya"/>
    <x v="2"/>
    <x v="0"/>
    <x v="0"/>
    <n v="1"/>
    <n v="4500"/>
    <n v="10"/>
    <x v="3"/>
    <x v="0"/>
    <n v="4050"/>
    <s v="February"/>
    <n v="2"/>
    <x v="4"/>
  </r>
  <r>
    <s v="ORD1010"/>
    <d v="2026-03-10T00:00:00"/>
    <s v="Rahul"/>
    <x v="2"/>
    <x v="1"/>
    <x v="15"/>
    <n v="5"/>
    <n v="900"/>
    <n v="10"/>
    <x v="1"/>
    <x v="2"/>
    <n v="4050"/>
    <s v="March"/>
    <n v="3"/>
    <x v="1"/>
  </r>
  <r>
    <s v="ORD1073"/>
    <d v="2026-06-26T00:00:00"/>
    <s v="Surya"/>
    <x v="2"/>
    <x v="0"/>
    <x v="0"/>
    <n v="1"/>
    <n v="4500"/>
    <n v="10"/>
    <x v="0"/>
    <x v="1"/>
    <n v="4050"/>
    <s v="June"/>
    <n v="6"/>
    <x v="5"/>
  </r>
  <r>
    <s v="ORD1459"/>
    <d v="2026-06-01T00:00:00"/>
    <s v="Swetha"/>
    <x v="3"/>
    <x v="0"/>
    <x v="4"/>
    <n v="2"/>
    <n v="2500"/>
    <n v="20"/>
    <x v="3"/>
    <x v="0"/>
    <n v="4000"/>
    <s v="June"/>
    <n v="6"/>
    <x v="5"/>
  </r>
  <r>
    <s v="ORD1046"/>
    <d v="2026-01-18T00:00:00"/>
    <s v="Dinesh"/>
    <x v="1"/>
    <x v="1"/>
    <x v="9"/>
    <n v="3"/>
    <n v="1600"/>
    <n v="20"/>
    <x v="3"/>
    <x v="0"/>
    <n v="3840"/>
    <s v="January"/>
    <n v="1"/>
    <x v="0"/>
  </r>
  <r>
    <s v="ORD1320"/>
    <d v="2026-04-28T00:00:00"/>
    <s v="Sneha"/>
    <x v="2"/>
    <x v="1"/>
    <x v="9"/>
    <n v="3"/>
    <n v="1600"/>
    <n v="20"/>
    <x v="0"/>
    <x v="3"/>
    <n v="3840"/>
    <s v="April"/>
    <n v="4"/>
    <x v="2"/>
  </r>
  <r>
    <s v="ORD1324"/>
    <d v="2026-05-05T00:00:00"/>
    <s v="Karthik"/>
    <x v="2"/>
    <x v="1"/>
    <x v="11"/>
    <n v="4"/>
    <n v="1200"/>
    <n v="20"/>
    <x v="3"/>
    <x v="2"/>
    <n v="3840"/>
    <s v="May"/>
    <n v="5"/>
    <x v="3"/>
  </r>
  <r>
    <s v="ORD1120"/>
    <d v="2026-01-28T00:00:00"/>
    <s v="Ananya"/>
    <x v="3"/>
    <x v="4"/>
    <x v="14"/>
    <n v="5"/>
    <n v="850"/>
    <n v="10"/>
    <x v="2"/>
    <x v="0"/>
    <n v="3825"/>
    <s v="January"/>
    <n v="1"/>
    <x v="0"/>
  </r>
  <r>
    <s v="ORD1198"/>
    <d v="2026-04-25T00:00:00"/>
    <s v="Priya"/>
    <x v="1"/>
    <x v="4"/>
    <x v="13"/>
    <n v="5"/>
    <n v="900"/>
    <n v="15"/>
    <x v="2"/>
    <x v="1"/>
    <n v="3825"/>
    <s v="April"/>
    <n v="4"/>
    <x v="2"/>
  </r>
  <r>
    <s v="ORD1029"/>
    <d v="2026-04-27T00:00:00"/>
    <s v="Keerthana"/>
    <x v="3"/>
    <x v="4"/>
    <x v="13"/>
    <n v="5"/>
    <n v="900"/>
    <n v="15"/>
    <x v="1"/>
    <x v="3"/>
    <n v="3825"/>
    <s v="April"/>
    <n v="4"/>
    <x v="2"/>
  </r>
  <r>
    <s v="ORD1319"/>
    <d v="2026-05-16T00:00:00"/>
    <s v="Prakash"/>
    <x v="1"/>
    <x v="1"/>
    <x v="15"/>
    <n v="5"/>
    <n v="900"/>
    <n v="15"/>
    <x v="3"/>
    <x v="1"/>
    <n v="3825"/>
    <s v="May"/>
    <n v="5"/>
    <x v="3"/>
  </r>
  <r>
    <s v="ORD1153"/>
    <d v="2026-06-19T00:00:00"/>
    <s v="Pooja"/>
    <x v="3"/>
    <x v="1"/>
    <x v="15"/>
    <n v="5"/>
    <n v="900"/>
    <n v="15"/>
    <x v="3"/>
    <x v="0"/>
    <n v="3825"/>
    <s v="June"/>
    <n v="6"/>
    <x v="5"/>
  </r>
  <r>
    <s v="ORD1127"/>
    <d v="2026-06-22T00:00:00"/>
    <s v="Aishwarya"/>
    <x v="1"/>
    <x v="4"/>
    <x v="13"/>
    <n v="5"/>
    <n v="900"/>
    <n v="15"/>
    <x v="2"/>
    <x v="1"/>
    <n v="3825"/>
    <s v="June"/>
    <n v="6"/>
    <x v="5"/>
  </r>
  <r>
    <s v="ORD1249"/>
    <d v="2026-01-03T00:00:00"/>
    <s v="Sanjay"/>
    <x v="1"/>
    <x v="3"/>
    <x v="6"/>
    <n v="2"/>
    <n v="1800"/>
    <n v="0"/>
    <x v="0"/>
    <x v="2"/>
    <n v="3600"/>
    <s v="January"/>
    <n v="1"/>
    <x v="0"/>
  </r>
  <r>
    <s v="ORD1185"/>
    <d v="2026-02-25T00:00:00"/>
    <s v="Surya"/>
    <x v="2"/>
    <x v="0"/>
    <x v="12"/>
    <n v="5"/>
    <n v="900"/>
    <n v="20"/>
    <x v="3"/>
    <x v="1"/>
    <n v="3600"/>
    <s v="February"/>
    <n v="2"/>
    <x v="4"/>
  </r>
  <r>
    <s v="ORD1031"/>
    <d v="2026-02-10T00:00:00"/>
    <s v="Priya"/>
    <x v="0"/>
    <x v="3"/>
    <x v="6"/>
    <n v="2"/>
    <n v="1800"/>
    <n v="0"/>
    <x v="0"/>
    <x v="3"/>
    <n v="3600"/>
    <s v="February"/>
    <n v="2"/>
    <x v="4"/>
  </r>
  <r>
    <s v="ORD1087"/>
    <d v="2026-02-17T00:00:00"/>
    <s v="Priya"/>
    <x v="1"/>
    <x v="4"/>
    <x v="13"/>
    <n v="4"/>
    <n v="900"/>
    <n v="0"/>
    <x v="0"/>
    <x v="2"/>
    <n v="3600"/>
    <s v="February"/>
    <n v="2"/>
    <x v="4"/>
  </r>
  <r>
    <s v="ORD1305"/>
    <d v="2026-04-04T00:00:00"/>
    <s v="Meena"/>
    <x v="2"/>
    <x v="1"/>
    <x v="15"/>
    <n v="5"/>
    <n v="900"/>
    <n v="20"/>
    <x v="1"/>
    <x v="1"/>
    <n v="3600"/>
    <s v="April"/>
    <n v="4"/>
    <x v="2"/>
  </r>
  <r>
    <s v="ORD1455"/>
    <d v="2026-04-03T00:00:00"/>
    <s v="Kavya"/>
    <x v="1"/>
    <x v="0"/>
    <x v="12"/>
    <n v="4"/>
    <n v="900"/>
    <n v="0"/>
    <x v="0"/>
    <x v="1"/>
    <n v="3600"/>
    <s v="April"/>
    <n v="4"/>
    <x v="2"/>
  </r>
  <r>
    <s v="ORD1096"/>
    <d v="2026-05-09T00:00:00"/>
    <s v="Harini"/>
    <x v="3"/>
    <x v="4"/>
    <x v="13"/>
    <n v="4"/>
    <n v="900"/>
    <n v="0"/>
    <x v="0"/>
    <x v="2"/>
    <n v="3600"/>
    <s v="May"/>
    <n v="5"/>
    <x v="3"/>
  </r>
  <r>
    <s v="ORD1376"/>
    <d v="2026-06-25T00:00:00"/>
    <s v="Prakash"/>
    <x v="0"/>
    <x v="4"/>
    <x v="13"/>
    <n v="5"/>
    <n v="900"/>
    <n v="20"/>
    <x v="2"/>
    <x v="1"/>
    <n v="3600"/>
    <s v="June"/>
    <n v="6"/>
    <x v="5"/>
  </r>
  <r>
    <s v="ORD1449"/>
    <d v="2026-06-19T00:00:00"/>
    <s v="Meena"/>
    <x v="1"/>
    <x v="1"/>
    <x v="15"/>
    <n v="5"/>
    <n v="900"/>
    <n v="20"/>
    <x v="1"/>
    <x v="2"/>
    <n v="3600"/>
    <s v="June"/>
    <n v="6"/>
    <x v="5"/>
  </r>
  <r>
    <s v="ORD1293"/>
    <d v="2026-05-22T00:00:00"/>
    <s v="Suresh"/>
    <x v="3"/>
    <x v="2"/>
    <x v="7"/>
    <n v="2"/>
    <n v="2200"/>
    <n v="20"/>
    <x v="3"/>
    <x v="1"/>
    <n v="3520"/>
    <s v="May"/>
    <n v="5"/>
    <x v="3"/>
  </r>
  <r>
    <s v="ORD1309"/>
    <d v="2026-06-18T00:00:00"/>
    <s v="Lavanya"/>
    <x v="1"/>
    <x v="0"/>
    <x v="5"/>
    <n v="2"/>
    <n v="2200"/>
    <n v="20"/>
    <x v="0"/>
    <x v="2"/>
    <n v="3520"/>
    <s v="June"/>
    <n v="6"/>
    <x v="5"/>
  </r>
  <r>
    <s v="ORD1004"/>
    <d v="2026-02-25T00:00:00"/>
    <s v="Dinesh"/>
    <x v="1"/>
    <x v="1"/>
    <x v="1"/>
    <n v="1"/>
    <n v="3500"/>
    <n v="0"/>
    <x v="3"/>
    <x v="1"/>
    <n v="3500"/>
    <s v="February"/>
    <n v="2"/>
    <x v="4"/>
  </r>
  <r>
    <s v="ORD1079"/>
    <d v="2026-06-29T00:00:00"/>
    <s v="Mohan"/>
    <x v="1"/>
    <x v="1"/>
    <x v="16"/>
    <n v="5"/>
    <n v="700"/>
    <n v="0"/>
    <x v="1"/>
    <x v="1"/>
    <n v="3500"/>
    <s v="June"/>
    <n v="6"/>
    <x v="5"/>
  </r>
  <r>
    <s v="ORD1070"/>
    <d v="2026-01-06T00:00:00"/>
    <s v="Sneha"/>
    <x v="2"/>
    <x v="2"/>
    <x v="8"/>
    <n v="2"/>
    <n v="1800"/>
    <n v="5"/>
    <x v="3"/>
    <x v="1"/>
    <n v="3420"/>
    <s v="January"/>
    <n v="1"/>
    <x v="0"/>
  </r>
  <r>
    <s v="ORD1495"/>
    <d v="2026-01-02T00:00:00"/>
    <s v="Prakash"/>
    <x v="0"/>
    <x v="3"/>
    <x v="6"/>
    <n v="2"/>
    <n v="1800"/>
    <n v="5"/>
    <x v="3"/>
    <x v="1"/>
    <n v="3420"/>
    <s v="January"/>
    <n v="1"/>
    <x v="0"/>
  </r>
  <r>
    <s v="ORD1091"/>
    <d v="2026-03-09T00:00:00"/>
    <s v="Lavanya"/>
    <x v="0"/>
    <x v="2"/>
    <x v="8"/>
    <n v="2"/>
    <n v="1800"/>
    <n v="5"/>
    <x v="1"/>
    <x v="1"/>
    <n v="3420"/>
    <s v="March"/>
    <n v="3"/>
    <x v="1"/>
  </r>
  <r>
    <s v="ORD1444"/>
    <d v="2026-05-14T00:00:00"/>
    <s v="Sneha"/>
    <x v="1"/>
    <x v="1"/>
    <x v="15"/>
    <n v="4"/>
    <n v="900"/>
    <n v="5"/>
    <x v="2"/>
    <x v="2"/>
    <n v="3420"/>
    <s v="May"/>
    <n v="5"/>
    <x v="3"/>
  </r>
  <r>
    <s v="ORD1267"/>
    <d v="2026-05-15T00:00:00"/>
    <s v="Rohit"/>
    <x v="3"/>
    <x v="1"/>
    <x v="15"/>
    <n v="4"/>
    <n v="900"/>
    <n v="5"/>
    <x v="2"/>
    <x v="2"/>
    <n v="3420"/>
    <s v="May"/>
    <n v="5"/>
    <x v="3"/>
  </r>
  <r>
    <s v="ORD1363"/>
    <d v="2026-05-22T00:00:00"/>
    <s v="Aditya"/>
    <x v="0"/>
    <x v="1"/>
    <x v="11"/>
    <n v="3"/>
    <n v="1200"/>
    <n v="5"/>
    <x v="2"/>
    <x v="0"/>
    <n v="3420"/>
    <s v="May"/>
    <n v="5"/>
    <x v="3"/>
  </r>
  <r>
    <s v="ORD1278"/>
    <d v="2026-06-14T00:00:00"/>
    <s v="Aishwarya"/>
    <x v="3"/>
    <x v="1"/>
    <x v="15"/>
    <n v="4"/>
    <n v="900"/>
    <n v="5"/>
    <x v="2"/>
    <x v="3"/>
    <n v="3420"/>
    <s v="June"/>
    <n v="6"/>
    <x v="5"/>
  </r>
  <r>
    <s v="ORD1432"/>
    <d v="2026-04-10T00:00:00"/>
    <s v="Aishwarya"/>
    <x v="0"/>
    <x v="4"/>
    <x v="14"/>
    <n v="5"/>
    <n v="850"/>
    <n v="20"/>
    <x v="1"/>
    <x v="0"/>
    <n v="3400"/>
    <s v="April"/>
    <n v="4"/>
    <x v="2"/>
  </r>
  <r>
    <s v="ORD1110"/>
    <d v="2026-04-09T00:00:00"/>
    <s v="Lavanya"/>
    <x v="2"/>
    <x v="4"/>
    <x v="14"/>
    <n v="4"/>
    <n v="850"/>
    <n v="0"/>
    <x v="1"/>
    <x v="0"/>
    <n v="3400"/>
    <s v="April"/>
    <n v="4"/>
    <x v="2"/>
  </r>
  <r>
    <s v="ORD1140"/>
    <d v="2026-06-25T00:00:00"/>
    <s v="Meena"/>
    <x v="3"/>
    <x v="4"/>
    <x v="14"/>
    <n v="4"/>
    <n v="850"/>
    <n v="0"/>
    <x v="0"/>
    <x v="0"/>
    <n v="3400"/>
    <s v="June"/>
    <n v="6"/>
    <x v="5"/>
  </r>
  <r>
    <s v="ORD1238"/>
    <d v="2026-02-21T00:00:00"/>
    <s v="Surya"/>
    <x v="1"/>
    <x v="4"/>
    <x v="17"/>
    <n v="5"/>
    <n v="750"/>
    <n v="10"/>
    <x v="1"/>
    <x v="1"/>
    <n v="3375"/>
    <s v="February"/>
    <n v="2"/>
    <x v="4"/>
  </r>
  <r>
    <s v="ORD1445"/>
    <d v="2026-02-12T00:00:00"/>
    <s v="Ishita"/>
    <x v="3"/>
    <x v="1"/>
    <x v="1"/>
    <n v="1"/>
    <n v="3500"/>
    <n v="5"/>
    <x v="1"/>
    <x v="3"/>
    <n v="3325"/>
    <s v="February"/>
    <n v="2"/>
    <x v="4"/>
  </r>
  <r>
    <s v="ORD1419"/>
    <d v="2026-04-06T00:00:00"/>
    <s v="Surya"/>
    <x v="0"/>
    <x v="4"/>
    <x v="18"/>
    <n v="5"/>
    <n v="700"/>
    <n v="5"/>
    <x v="0"/>
    <x v="0"/>
    <n v="3325"/>
    <s v="April"/>
    <n v="4"/>
    <x v="2"/>
  </r>
  <r>
    <s v="ORD1032"/>
    <d v="2026-05-26T00:00:00"/>
    <s v="Ananya"/>
    <x v="0"/>
    <x v="4"/>
    <x v="19"/>
    <n v="5"/>
    <n v="650"/>
    <n v="0"/>
    <x v="3"/>
    <x v="0"/>
    <n v="3250"/>
    <s v="May"/>
    <n v="5"/>
    <x v="3"/>
  </r>
  <r>
    <s v="ORD1498"/>
    <d v="2026-04-10T00:00:00"/>
    <s v="Aditya"/>
    <x v="3"/>
    <x v="1"/>
    <x v="15"/>
    <n v="4"/>
    <n v="900"/>
    <n v="10"/>
    <x v="0"/>
    <x v="2"/>
    <n v="3240"/>
    <s v="April"/>
    <n v="4"/>
    <x v="2"/>
  </r>
  <r>
    <s v="ORD1171"/>
    <d v="2026-05-23T00:00:00"/>
    <s v="Lavanya"/>
    <x v="3"/>
    <x v="1"/>
    <x v="11"/>
    <n v="3"/>
    <n v="1200"/>
    <n v="10"/>
    <x v="1"/>
    <x v="0"/>
    <n v="3240"/>
    <s v="May"/>
    <n v="5"/>
    <x v="3"/>
  </r>
  <r>
    <s v="ORD1302"/>
    <d v="2026-06-08T00:00:00"/>
    <s v="Suresh"/>
    <x v="1"/>
    <x v="4"/>
    <x v="13"/>
    <n v="4"/>
    <n v="900"/>
    <n v="10"/>
    <x v="3"/>
    <x v="3"/>
    <n v="3240"/>
    <s v="June"/>
    <n v="6"/>
    <x v="5"/>
  </r>
  <r>
    <s v="ORD1075"/>
    <d v="2026-01-28T00:00:00"/>
    <s v="Pooja"/>
    <x v="1"/>
    <x v="4"/>
    <x v="14"/>
    <n v="4"/>
    <n v="850"/>
    <n v="5"/>
    <x v="0"/>
    <x v="3"/>
    <n v="3230"/>
    <s v="January"/>
    <n v="1"/>
    <x v="0"/>
  </r>
  <r>
    <s v="ORD1448"/>
    <d v="2026-04-08T00:00:00"/>
    <s v="Meena"/>
    <x v="1"/>
    <x v="4"/>
    <x v="14"/>
    <n v="4"/>
    <n v="850"/>
    <n v="5"/>
    <x v="1"/>
    <x v="1"/>
    <n v="3230"/>
    <s v="April"/>
    <n v="4"/>
    <x v="2"/>
  </r>
  <r>
    <s v="ORD1355"/>
    <d v="2026-02-11T00:00:00"/>
    <s v="Swetha"/>
    <x v="1"/>
    <x v="2"/>
    <x v="20"/>
    <n v="5"/>
    <n v="800"/>
    <n v="20"/>
    <x v="2"/>
    <x v="3"/>
    <n v="3200"/>
    <s v="February"/>
    <n v="2"/>
    <x v="4"/>
  </r>
  <r>
    <s v="ORD1295"/>
    <d v="2026-03-23T00:00:00"/>
    <s v="Nisha"/>
    <x v="0"/>
    <x v="2"/>
    <x v="2"/>
    <n v="1"/>
    <n v="3200"/>
    <n v="0"/>
    <x v="2"/>
    <x v="2"/>
    <n v="3200"/>
    <s v="March"/>
    <n v="3"/>
    <x v="1"/>
  </r>
  <r>
    <s v="ORD1089"/>
    <d v="2026-05-23T00:00:00"/>
    <s v="Dinesh"/>
    <x v="3"/>
    <x v="2"/>
    <x v="20"/>
    <n v="5"/>
    <n v="800"/>
    <n v="20"/>
    <x v="1"/>
    <x v="2"/>
    <n v="3200"/>
    <s v="May"/>
    <n v="5"/>
    <x v="3"/>
  </r>
  <r>
    <s v="ORD1162"/>
    <d v="2026-06-15T00:00:00"/>
    <s v="Surya"/>
    <x v="2"/>
    <x v="1"/>
    <x v="9"/>
    <n v="2"/>
    <n v="1600"/>
    <n v="0"/>
    <x v="1"/>
    <x v="0"/>
    <n v="3200"/>
    <s v="June"/>
    <n v="6"/>
    <x v="5"/>
  </r>
  <r>
    <s v="ORD1360"/>
    <d v="2026-02-15T00:00:00"/>
    <s v="Ishita"/>
    <x v="0"/>
    <x v="4"/>
    <x v="17"/>
    <n v="5"/>
    <n v="750"/>
    <n v="15"/>
    <x v="1"/>
    <x v="0"/>
    <n v="3187.5"/>
    <s v="February"/>
    <n v="2"/>
    <x v="4"/>
  </r>
  <r>
    <s v="ORD1383"/>
    <d v="2026-01-07T00:00:00"/>
    <s v="Rohit"/>
    <x v="2"/>
    <x v="1"/>
    <x v="1"/>
    <n v="1"/>
    <n v="3500"/>
    <n v="10"/>
    <x v="0"/>
    <x v="2"/>
    <n v="3150"/>
    <s v="January"/>
    <n v="1"/>
    <x v="0"/>
  </r>
  <r>
    <s v="ORD1237"/>
    <d v="2026-03-16T00:00:00"/>
    <s v="Priya"/>
    <x v="1"/>
    <x v="1"/>
    <x v="1"/>
    <n v="1"/>
    <n v="3500"/>
    <n v="10"/>
    <x v="3"/>
    <x v="0"/>
    <n v="3150"/>
    <s v="March"/>
    <n v="3"/>
    <x v="1"/>
  </r>
  <r>
    <s v="ORD1356"/>
    <d v="2026-03-10T00:00:00"/>
    <s v="Aishwarya"/>
    <x v="0"/>
    <x v="1"/>
    <x v="1"/>
    <n v="1"/>
    <n v="3500"/>
    <n v="10"/>
    <x v="3"/>
    <x v="0"/>
    <n v="3150"/>
    <s v="March"/>
    <n v="3"/>
    <x v="1"/>
  </r>
  <r>
    <s v="ORD1250"/>
    <d v="2026-04-14T00:00:00"/>
    <s v="Lavanya"/>
    <x v="1"/>
    <x v="1"/>
    <x v="1"/>
    <n v="1"/>
    <n v="3500"/>
    <n v="10"/>
    <x v="2"/>
    <x v="3"/>
    <n v="3150"/>
    <s v="April"/>
    <n v="4"/>
    <x v="2"/>
  </r>
  <r>
    <s v="ORD1457"/>
    <d v="2026-03-29T00:00:00"/>
    <s v="Divya"/>
    <x v="0"/>
    <x v="0"/>
    <x v="12"/>
    <n v="4"/>
    <n v="900"/>
    <n v="15"/>
    <x v="3"/>
    <x v="0"/>
    <n v="3060"/>
    <s v="March"/>
    <n v="3"/>
    <x v="1"/>
  </r>
  <r>
    <s v="ORD1164"/>
    <d v="2026-03-24T00:00:00"/>
    <s v="Deepa"/>
    <x v="1"/>
    <x v="3"/>
    <x v="6"/>
    <n v="2"/>
    <n v="1800"/>
    <n v="15"/>
    <x v="0"/>
    <x v="2"/>
    <n v="3060"/>
    <s v="March"/>
    <n v="3"/>
    <x v="1"/>
  </r>
  <r>
    <s v="ORD1195"/>
    <d v="2026-03-28T00:00:00"/>
    <s v="Divya"/>
    <x v="3"/>
    <x v="4"/>
    <x v="14"/>
    <n v="4"/>
    <n v="850"/>
    <n v="10"/>
    <x v="2"/>
    <x v="1"/>
    <n v="3060"/>
    <s v="March"/>
    <n v="3"/>
    <x v="1"/>
  </r>
  <r>
    <s v="ORD1059"/>
    <d v="2026-04-20T00:00:00"/>
    <s v="Surya"/>
    <x v="3"/>
    <x v="3"/>
    <x v="6"/>
    <n v="2"/>
    <n v="1800"/>
    <n v="15"/>
    <x v="3"/>
    <x v="0"/>
    <n v="3060"/>
    <s v="April"/>
    <n v="4"/>
    <x v="2"/>
  </r>
  <r>
    <s v="ORD1184"/>
    <d v="2026-05-01T00:00:00"/>
    <s v="Gokul"/>
    <x v="2"/>
    <x v="0"/>
    <x v="12"/>
    <n v="4"/>
    <n v="900"/>
    <n v="15"/>
    <x v="0"/>
    <x v="1"/>
    <n v="3060"/>
    <s v="May"/>
    <n v="5"/>
    <x v="3"/>
  </r>
  <r>
    <s v="ORD1163"/>
    <d v="2026-06-04T00:00:00"/>
    <s v="Karthik"/>
    <x v="0"/>
    <x v="2"/>
    <x v="8"/>
    <n v="2"/>
    <n v="1800"/>
    <n v="15"/>
    <x v="3"/>
    <x v="2"/>
    <n v="3060"/>
    <s v="June"/>
    <n v="6"/>
    <x v="5"/>
  </r>
  <r>
    <s v="ORD1430"/>
    <d v="2026-03-12T00:00:00"/>
    <s v="Sanjay"/>
    <x v="1"/>
    <x v="1"/>
    <x v="9"/>
    <n v="2"/>
    <n v="1600"/>
    <n v="5"/>
    <x v="1"/>
    <x v="1"/>
    <n v="3040"/>
    <s v="March"/>
    <n v="3"/>
    <x v="1"/>
  </r>
  <r>
    <s v="ORD1343"/>
    <d v="2026-03-18T00:00:00"/>
    <s v="Karthik"/>
    <x v="3"/>
    <x v="1"/>
    <x v="9"/>
    <n v="2"/>
    <n v="1600"/>
    <n v="5"/>
    <x v="0"/>
    <x v="1"/>
    <n v="3040"/>
    <s v="March"/>
    <n v="3"/>
    <x v="1"/>
  </r>
  <r>
    <s v="ORD1084"/>
    <d v="2026-03-12T00:00:00"/>
    <s v="Aishwarya"/>
    <x v="1"/>
    <x v="2"/>
    <x v="2"/>
    <n v="1"/>
    <n v="3200"/>
    <n v="5"/>
    <x v="2"/>
    <x v="3"/>
    <n v="3040"/>
    <s v="March"/>
    <n v="3"/>
    <x v="1"/>
  </r>
  <r>
    <s v="ORD1453"/>
    <d v="2026-01-29T00:00:00"/>
    <s v="Surya"/>
    <x v="3"/>
    <x v="0"/>
    <x v="10"/>
    <n v="2"/>
    <n v="1500"/>
    <n v="0"/>
    <x v="0"/>
    <x v="1"/>
    <n v="3000"/>
    <s v="January"/>
    <n v="1"/>
    <x v="0"/>
  </r>
  <r>
    <s v="ORD1124"/>
    <d v="2026-02-21T00:00:00"/>
    <s v="Karthik"/>
    <x v="1"/>
    <x v="4"/>
    <x v="17"/>
    <n v="5"/>
    <n v="750"/>
    <n v="20"/>
    <x v="2"/>
    <x v="3"/>
    <n v="3000"/>
    <s v="February"/>
    <n v="2"/>
    <x v="4"/>
  </r>
  <r>
    <s v="ORD1377"/>
    <d v="2026-02-20T00:00:00"/>
    <s v="Mohan"/>
    <x v="3"/>
    <x v="0"/>
    <x v="10"/>
    <n v="2"/>
    <n v="1500"/>
    <n v="0"/>
    <x v="2"/>
    <x v="1"/>
    <n v="3000"/>
    <s v="February"/>
    <n v="2"/>
    <x v="4"/>
  </r>
  <r>
    <s v="ORD1001"/>
    <d v="2026-03-12T00:00:00"/>
    <s v="Ananya"/>
    <x v="2"/>
    <x v="0"/>
    <x v="10"/>
    <n v="2"/>
    <n v="1500"/>
    <n v="0"/>
    <x v="0"/>
    <x v="2"/>
    <n v="3000"/>
    <s v="March"/>
    <n v="3"/>
    <x v="1"/>
  </r>
  <r>
    <s v="ORD1342"/>
    <d v="2026-05-03T00:00:00"/>
    <s v="Rahul"/>
    <x v="2"/>
    <x v="4"/>
    <x v="17"/>
    <n v="4"/>
    <n v="750"/>
    <n v="0"/>
    <x v="0"/>
    <x v="1"/>
    <n v="3000"/>
    <s v="May"/>
    <n v="5"/>
    <x v="3"/>
  </r>
  <r>
    <s v="ORD1254"/>
    <d v="2026-04-24T00:00:00"/>
    <s v="Meena"/>
    <x v="2"/>
    <x v="1"/>
    <x v="16"/>
    <n v="5"/>
    <n v="700"/>
    <n v="15"/>
    <x v="0"/>
    <x v="2"/>
    <n v="2975"/>
    <s v="April"/>
    <n v="4"/>
    <x v="2"/>
  </r>
  <r>
    <s v="ORD1475"/>
    <d v="2026-06-05T00:00:00"/>
    <s v="Mohan"/>
    <x v="1"/>
    <x v="4"/>
    <x v="18"/>
    <n v="5"/>
    <n v="700"/>
    <n v="15"/>
    <x v="3"/>
    <x v="3"/>
    <n v="2975"/>
    <s v="June"/>
    <n v="6"/>
    <x v="5"/>
  </r>
  <r>
    <s v="ORD1196"/>
    <d v="2026-04-21T00:00:00"/>
    <s v="Sneha"/>
    <x v="2"/>
    <x v="4"/>
    <x v="19"/>
    <n v="5"/>
    <n v="650"/>
    <n v="10"/>
    <x v="2"/>
    <x v="1"/>
    <n v="2925"/>
    <s v="April"/>
    <n v="4"/>
    <x v="2"/>
  </r>
  <r>
    <s v="ORD1290"/>
    <d v="2026-05-26T00:00:00"/>
    <s v="Surya"/>
    <x v="3"/>
    <x v="3"/>
    <x v="21"/>
    <n v="5"/>
    <n v="650"/>
    <n v="10"/>
    <x v="3"/>
    <x v="3"/>
    <n v="2925"/>
    <s v="May"/>
    <n v="5"/>
    <x v="3"/>
  </r>
  <r>
    <s v="ORD1284"/>
    <d v="2026-01-21T00:00:00"/>
    <s v="Nisha"/>
    <x v="3"/>
    <x v="1"/>
    <x v="15"/>
    <n v="4"/>
    <n v="900"/>
    <n v="20"/>
    <x v="1"/>
    <x v="3"/>
    <n v="2880"/>
    <s v="January"/>
    <n v="1"/>
    <x v="0"/>
  </r>
  <r>
    <s v="ORD1248"/>
    <d v="2026-03-08T00:00:00"/>
    <s v="Suresh"/>
    <x v="2"/>
    <x v="2"/>
    <x v="20"/>
    <n v="4"/>
    <n v="800"/>
    <n v="10"/>
    <x v="2"/>
    <x v="0"/>
    <n v="2880"/>
    <s v="March"/>
    <n v="3"/>
    <x v="1"/>
  </r>
  <r>
    <s v="ORD1266"/>
    <d v="2026-03-12T00:00:00"/>
    <s v="Priya"/>
    <x v="2"/>
    <x v="4"/>
    <x v="13"/>
    <n v="4"/>
    <n v="900"/>
    <n v="20"/>
    <x v="3"/>
    <x v="1"/>
    <n v="2880"/>
    <s v="March"/>
    <n v="3"/>
    <x v="1"/>
  </r>
  <r>
    <s v="ORD1220"/>
    <d v="2026-05-08T00:00:00"/>
    <s v="Arun"/>
    <x v="0"/>
    <x v="4"/>
    <x v="13"/>
    <n v="4"/>
    <n v="900"/>
    <n v="20"/>
    <x v="3"/>
    <x v="3"/>
    <n v="2880"/>
    <s v="May"/>
    <n v="5"/>
    <x v="3"/>
  </r>
  <r>
    <s v="ORD1197"/>
    <d v="2026-06-19T00:00:00"/>
    <s v="Keerthana"/>
    <x v="1"/>
    <x v="0"/>
    <x v="12"/>
    <n v="4"/>
    <n v="900"/>
    <n v="20"/>
    <x v="3"/>
    <x v="3"/>
    <n v="2880"/>
    <s v="June"/>
    <n v="6"/>
    <x v="5"/>
  </r>
  <r>
    <s v="ORD1048"/>
    <d v="2026-06-05T00:00:00"/>
    <s v="Manoj"/>
    <x v="0"/>
    <x v="1"/>
    <x v="15"/>
    <n v="4"/>
    <n v="900"/>
    <n v="20"/>
    <x v="1"/>
    <x v="0"/>
    <n v="2880"/>
    <s v="June"/>
    <n v="6"/>
    <x v="5"/>
  </r>
  <r>
    <s v="ORD1106"/>
    <d v="2026-04-27T00:00:00"/>
    <s v="Harini"/>
    <x v="4"/>
    <x v="4"/>
    <x v="17"/>
    <n v="4"/>
    <n v="750"/>
    <n v="5"/>
    <x v="1"/>
    <x v="1"/>
    <n v="2850"/>
    <s v="April"/>
    <n v="4"/>
    <x v="2"/>
  </r>
  <r>
    <s v="ORD1262"/>
    <d v="2026-06-19T00:00:00"/>
    <s v="Pooja"/>
    <x v="0"/>
    <x v="0"/>
    <x v="10"/>
    <n v="2"/>
    <n v="1500"/>
    <n v="5"/>
    <x v="0"/>
    <x v="1"/>
    <n v="2850"/>
    <s v="June"/>
    <n v="6"/>
    <x v="5"/>
  </r>
  <r>
    <s v="ORD1134"/>
    <d v="2026-02-02T00:00:00"/>
    <s v="Kavya"/>
    <x v="2"/>
    <x v="1"/>
    <x v="1"/>
    <n v="1"/>
    <n v="3500"/>
    <n v="20"/>
    <x v="1"/>
    <x v="3"/>
    <n v="2800"/>
    <s v="February"/>
    <n v="2"/>
    <x v="4"/>
  </r>
  <r>
    <s v="ORD1228"/>
    <d v="2026-03-18T00:00:00"/>
    <s v="Akash"/>
    <x v="1"/>
    <x v="4"/>
    <x v="18"/>
    <n v="5"/>
    <n v="700"/>
    <n v="20"/>
    <x v="3"/>
    <x v="0"/>
    <n v="2800"/>
    <s v="March"/>
    <n v="3"/>
    <x v="1"/>
  </r>
  <r>
    <s v="ORD1224"/>
    <d v="2026-04-26T00:00:00"/>
    <s v="Dinesh"/>
    <x v="1"/>
    <x v="4"/>
    <x v="18"/>
    <n v="5"/>
    <n v="700"/>
    <n v="20"/>
    <x v="0"/>
    <x v="3"/>
    <n v="2800"/>
    <s v="April"/>
    <n v="4"/>
    <x v="2"/>
  </r>
  <r>
    <s v="ORD1252"/>
    <d v="2026-03-05T00:00:00"/>
    <s v="Lavanya"/>
    <x v="0"/>
    <x v="3"/>
    <x v="21"/>
    <n v="5"/>
    <n v="650"/>
    <n v="15"/>
    <x v="2"/>
    <x v="1"/>
    <n v="2762.5"/>
    <s v="March"/>
    <n v="3"/>
    <x v="1"/>
  </r>
  <r>
    <s v="ORD1038"/>
    <d v="2026-03-29T00:00:00"/>
    <s v="Vijay"/>
    <x v="1"/>
    <x v="3"/>
    <x v="21"/>
    <n v="5"/>
    <n v="650"/>
    <n v="15"/>
    <x v="2"/>
    <x v="1"/>
    <n v="2762.5"/>
    <s v="March"/>
    <n v="3"/>
    <x v="1"/>
  </r>
  <r>
    <s v="ORD1482"/>
    <d v="2026-06-07T00:00:00"/>
    <s v="Deepa"/>
    <x v="2"/>
    <x v="4"/>
    <x v="19"/>
    <n v="5"/>
    <n v="650"/>
    <n v="15"/>
    <x v="1"/>
    <x v="0"/>
    <n v="2762.5"/>
    <s v="June"/>
    <n v="6"/>
    <x v="5"/>
  </r>
  <r>
    <s v="ORD1390"/>
    <d v="2026-01-19T00:00:00"/>
    <s v="Nisha"/>
    <x v="3"/>
    <x v="3"/>
    <x v="22"/>
    <n v="5"/>
    <n v="550"/>
    <n v="0"/>
    <x v="2"/>
    <x v="0"/>
    <n v="2750"/>
    <s v="January"/>
    <n v="1"/>
    <x v="0"/>
  </r>
  <r>
    <s v="ORD1479"/>
    <d v="2026-04-19T00:00:00"/>
    <s v="Kavya"/>
    <x v="0"/>
    <x v="3"/>
    <x v="22"/>
    <n v="5"/>
    <n v="550"/>
    <n v="0"/>
    <x v="0"/>
    <x v="2"/>
    <n v="2750"/>
    <s v="April"/>
    <n v="4"/>
    <x v="2"/>
  </r>
  <r>
    <s v="ORD1296"/>
    <d v="2026-01-27T00:00:00"/>
    <s v="Karthik"/>
    <x v="0"/>
    <x v="1"/>
    <x v="9"/>
    <n v="2"/>
    <n v="1600"/>
    <n v="15"/>
    <x v="3"/>
    <x v="2"/>
    <n v="2720"/>
    <s v="January"/>
    <n v="1"/>
    <x v="0"/>
  </r>
  <r>
    <s v="ORD1202"/>
    <d v="2026-03-05T00:00:00"/>
    <s v="Meena"/>
    <x v="0"/>
    <x v="1"/>
    <x v="9"/>
    <n v="2"/>
    <n v="1600"/>
    <n v="15"/>
    <x v="3"/>
    <x v="1"/>
    <n v="2720"/>
    <s v="March"/>
    <n v="3"/>
    <x v="1"/>
  </r>
  <r>
    <s v="ORD1418"/>
    <d v="2026-04-17T00:00:00"/>
    <s v="Sneha"/>
    <x v="0"/>
    <x v="1"/>
    <x v="9"/>
    <n v="2"/>
    <n v="1600"/>
    <n v="15"/>
    <x v="1"/>
    <x v="2"/>
    <n v="2720"/>
    <s v="April"/>
    <n v="4"/>
    <x v="2"/>
  </r>
  <r>
    <s v="ORD1236"/>
    <d v="2026-03-31T00:00:00"/>
    <s v="Harini"/>
    <x v="1"/>
    <x v="1"/>
    <x v="15"/>
    <n v="3"/>
    <n v="900"/>
    <n v="0"/>
    <x v="3"/>
    <x v="2"/>
    <n v="2700"/>
    <s v="March"/>
    <n v="3"/>
    <x v="1"/>
  </r>
  <r>
    <s v="ORD1311"/>
    <d v="2026-04-29T00:00:00"/>
    <s v="Dinesh"/>
    <x v="2"/>
    <x v="1"/>
    <x v="15"/>
    <n v="3"/>
    <n v="900"/>
    <n v="0"/>
    <x v="3"/>
    <x v="1"/>
    <n v="2700"/>
    <s v="April"/>
    <n v="4"/>
    <x v="2"/>
  </r>
  <r>
    <s v="ORD1322"/>
    <d v="2026-02-05T00:00:00"/>
    <s v="Akash"/>
    <x v="3"/>
    <x v="4"/>
    <x v="18"/>
    <n v="4"/>
    <n v="700"/>
    <n v="5"/>
    <x v="3"/>
    <x v="3"/>
    <n v="2660"/>
    <s v="February"/>
    <n v="2"/>
    <x v="4"/>
  </r>
  <r>
    <s v="ORD1496"/>
    <d v="2026-06-29T00:00:00"/>
    <s v="Mohan"/>
    <x v="3"/>
    <x v="2"/>
    <x v="3"/>
    <n v="1"/>
    <n v="2800"/>
    <n v="5"/>
    <x v="0"/>
    <x v="2"/>
    <n v="2660"/>
    <s v="June"/>
    <n v="6"/>
    <x v="5"/>
  </r>
  <r>
    <s v="ORD1148"/>
    <d v="2026-01-30T00:00:00"/>
    <s v="Dinesh"/>
    <x v="1"/>
    <x v="3"/>
    <x v="22"/>
    <n v="5"/>
    <n v="550"/>
    <n v="5"/>
    <x v="3"/>
    <x v="1"/>
    <n v="2612.5"/>
    <s v="January"/>
    <n v="1"/>
    <x v="0"/>
  </r>
  <r>
    <s v="ORD1141"/>
    <d v="2026-01-17T00:00:00"/>
    <s v="Karthik"/>
    <x v="1"/>
    <x v="3"/>
    <x v="21"/>
    <n v="5"/>
    <n v="650"/>
    <n v="20"/>
    <x v="2"/>
    <x v="2"/>
    <n v="2600"/>
    <s v="January"/>
    <n v="1"/>
    <x v="0"/>
  </r>
  <r>
    <s v="ORD1169"/>
    <d v="2026-01-11T00:00:00"/>
    <s v="Ananya"/>
    <x v="3"/>
    <x v="3"/>
    <x v="21"/>
    <n v="4"/>
    <n v="650"/>
    <n v="0"/>
    <x v="1"/>
    <x v="0"/>
    <n v="2600"/>
    <s v="January"/>
    <n v="1"/>
    <x v="0"/>
  </r>
  <r>
    <s v="ORD1139"/>
    <d v="2026-06-07T00:00:00"/>
    <s v="Priya"/>
    <x v="1"/>
    <x v="3"/>
    <x v="21"/>
    <n v="4"/>
    <n v="650"/>
    <n v="0"/>
    <x v="0"/>
    <x v="2"/>
    <n v="2600"/>
    <s v="June"/>
    <n v="6"/>
    <x v="5"/>
  </r>
  <r>
    <s v="ORD1310"/>
    <d v="2026-01-28T00:00:00"/>
    <s v="Arun"/>
    <x v="0"/>
    <x v="1"/>
    <x v="15"/>
    <n v="3"/>
    <n v="900"/>
    <n v="5"/>
    <x v="1"/>
    <x v="2"/>
    <n v="2565"/>
    <s v="January"/>
    <n v="1"/>
    <x v="0"/>
  </r>
  <r>
    <s v="ORD1159"/>
    <d v="2026-01-30T00:00:00"/>
    <s v="Suresh"/>
    <x v="0"/>
    <x v="4"/>
    <x v="13"/>
    <n v="3"/>
    <n v="900"/>
    <n v="5"/>
    <x v="3"/>
    <x v="0"/>
    <n v="2565"/>
    <s v="January"/>
    <n v="1"/>
    <x v="0"/>
  </r>
  <r>
    <s v="ORD1371"/>
    <d v="2026-04-30T00:00:00"/>
    <s v="Rohit"/>
    <x v="3"/>
    <x v="2"/>
    <x v="2"/>
    <n v="1"/>
    <n v="3200"/>
    <n v="20"/>
    <x v="2"/>
    <x v="3"/>
    <n v="2560"/>
    <s v="April"/>
    <n v="4"/>
    <x v="2"/>
  </r>
  <r>
    <s v="ORD1244"/>
    <d v="2026-04-27T00:00:00"/>
    <s v="Prakash"/>
    <x v="3"/>
    <x v="1"/>
    <x v="9"/>
    <n v="2"/>
    <n v="1600"/>
    <n v="20"/>
    <x v="3"/>
    <x v="0"/>
    <n v="2560"/>
    <s v="April"/>
    <n v="4"/>
    <x v="2"/>
  </r>
  <r>
    <s v="ORD1166"/>
    <d v="2026-01-10T00:00:00"/>
    <s v="Priya"/>
    <x v="1"/>
    <x v="4"/>
    <x v="14"/>
    <n v="3"/>
    <n v="850"/>
    <n v="0"/>
    <x v="0"/>
    <x v="2"/>
    <n v="2550"/>
    <s v="January"/>
    <n v="1"/>
    <x v="0"/>
  </r>
  <r>
    <s v="ORD1143"/>
    <d v="2026-04-16T00:00:00"/>
    <s v="Rohit"/>
    <x v="3"/>
    <x v="4"/>
    <x v="17"/>
    <n v="4"/>
    <n v="750"/>
    <n v="15"/>
    <x v="0"/>
    <x v="0"/>
    <n v="2550"/>
    <s v="April"/>
    <n v="4"/>
    <x v="2"/>
  </r>
  <r>
    <s v="ORD1154"/>
    <d v="2026-01-30T00:00:00"/>
    <s v="Nisha"/>
    <x v="3"/>
    <x v="2"/>
    <x v="3"/>
    <n v="1"/>
    <n v="2800"/>
    <n v="10"/>
    <x v="3"/>
    <x v="0"/>
    <n v="2520"/>
    <s v="January"/>
    <n v="1"/>
    <x v="0"/>
  </r>
  <r>
    <s v="ORD1308"/>
    <d v="2026-05-30T00:00:00"/>
    <s v="Suresh"/>
    <x v="3"/>
    <x v="3"/>
    <x v="23"/>
    <n v="5"/>
    <n v="500"/>
    <n v="0"/>
    <x v="2"/>
    <x v="1"/>
    <n v="2500"/>
    <s v="May"/>
    <n v="5"/>
    <x v="3"/>
  </r>
  <r>
    <s v="ORD1122"/>
    <d v="2026-02-26T00:00:00"/>
    <s v="Prakash"/>
    <x v="2"/>
    <x v="3"/>
    <x v="22"/>
    <n v="5"/>
    <n v="550"/>
    <n v="10"/>
    <x v="1"/>
    <x v="1"/>
    <n v="2475"/>
    <s v="February"/>
    <n v="2"/>
    <x v="4"/>
  </r>
  <r>
    <s v="ORD1114"/>
    <d v="2026-06-12T00:00:00"/>
    <s v="Gokul"/>
    <x v="0"/>
    <x v="4"/>
    <x v="19"/>
    <n v="4"/>
    <n v="650"/>
    <n v="5"/>
    <x v="2"/>
    <x v="1"/>
    <n v="2470"/>
    <s v="June"/>
    <n v="6"/>
    <x v="5"/>
  </r>
  <r>
    <s v="ORD1312"/>
    <d v="2026-01-22T00:00:00"/>
    <s v="Meena"/>
    <x v="2"/>
    <x v="1"/>
    <x v="15"/>
    <n v="3"/>
    <n v="900"/>
    <n v="10"/>
    <x v="2"/>
    <x v="2"/>
    <n v="2430"/>
    <s v="January"/>
    <n v="1"/>
    <x v="0"/>
  </r>
  <r>
    <s v="ORD1092"/>
    <d v="2026-04-15T00:00:00"/>
    <s v="Aditya"/>
    <x v="3"/>
    <x v="2"/>
    <x v="20"/>
    <n v="3"/>
    <n v="800"/>
    <n v="0"/>
    <x v="1"/>
    <x v="0"/>
    <n v="2400"/>
    <s v="April"/>
    <n v="4"/>
    <x v="2"/>
  </r>
  <r>
    <s v="ORD1145"/>
    <d v="2026-04-21T00:00:00"/>
    <s v="Meena"/>
    <x v="1"/>
    <x v="0"/>
    <x v="10"/>
    <n v="2"/>
    <n v="1500"/>
    <n v="20"/>
    <x v="0"/>
    <x v="0"/>
    <n v="2400"/>
    <s v="April"/>
    <n v="4"/>
    <x v="2"/>
  </r>
  <r>
    <s v="ORD1439"/>
    <d v="2026-05-05T00:00:00"/>
    <s v="Rohit"/>
    <x v="2"/>
    <x v="2"/>
    <x v="20"/>
    <n v="3"/>
    <n v="800"/>
    <n v="0"/>
    <x v="0"/>
    <x v="2"/>
    <n v="2400"/>
    <s v="May"/>
    <n v="5"/>
    <x v="3"/>
  </r>
  <r>
    <s v="ORD1066"/>
    <d v="2026-06-09T00:00:00"/>
    <s v="Harini"/>
    <x v="0"/>
    <x v="4"/>
    <x v="17"/>
    <n v="4"/>
    <n v="750"/>
    <n v="20"/>
    <x v="0"/>
    <x v="1"/>
    <n v="2400"/>
    <s v="June"/>
    <n v="6"/>
    <x v="5"/>
  </r>
  <r>
    <s v="ORD1056"/>
    <d v="2026-02-19T00:00:00"/>
    <s v="Gokul"/>
    <x v="3"/>
    <x v="4"/>
    <x v="18"/>
    <n v="4"/>
    <n v="700"/>
    <n v="15"/>
    <x v="1"/>
    <x v="3"/>
    <n v="2380"/>
    <s v="February"/>
    <n v="2"/>
    <x v="4"/>
  </r>
  <r>
    <s v="ORD1351"/>
    <d v="2026-03-15T00:00:00"/>
    <s v="Prakash"/>
    <x v="3"/>
    <x v="4"/>
    <x v="18"/>
    <n v="4"/>
    <n v="700"/>
    <n v="15"/>
    <x v="0"/>
    <x v="3"/>
    <n v="2380"/>
    <s v="March"/>
    <n v="3"/>
    <x v="1"/>
  </r>
  <r>
    <s v="ORD1313"/>
    <d v="2026-05-04T00:00:00"/>
    <s v="Nisha"/>
    <x v="3"/>
    <x v="2"/>
    <x v="3"/>
    <n v="1"/>
    <n v="2800"/>
    <n v="15"/>
    <x v="3"/>
    <x v="0"/>
    <n v="2380"/>
    <s v="May"/>
    <n v="5"/>
    <x v="3"/>
  </r>
  <r>
    <s v="ORD1111"/>
    <d v="2026-01-26T00:00:00"/>
    <s v="Manoj"/>
    <x v="3"/>
    <x v="0"/>
    <x v="4"/>
    <n v="1"/>
    <n v="2500"/>
    <n v="5"/>
    <x v="3"/>
    <x v="3"/>
    <n v="2375"/>
    <s v="January"/>
    <n v="1"/>
    <x v="0"/>
  </r>
  <r>
    <s v="ORD1280"/>
    <d v="2026-02-05T00:00:00"/>
    <s v="Surya"/>
    <x v="2"/>
    <x v="0"/>
    <x v="4"/>
    <n v="1"/>
    <n v="2500"/>
    <n v="5"/>
    <x v="0"/>
    <x v="3"/>
    <n v="2375"/>
    <s v="February"/>
    <n v="2"/>
    <x v="4"/>
  </r>
  <r>
    <s v="ORD1240"/>
    <d v="2026-03-26T00:00:00"/>
    <s v="Gokul"/>
    <x v="3"/>
    <x v="0"/>
    <x v="4"/>
    <n v="1"/>
    <n v="2500"/>
    <n v="5"/>
    <x v="0"/>
    <x v="3"/>
    <n v="2375"/>
    <s v="March"/>
    <n v="3"/>
    <x v="1"/>
  </r>
  <r>
    <s v="ORD1199"/>
    <d v="2026-04-04T00:00:00"/>
    <s v="Manoj"/>
    <x v="2"/>
    <x v="0"/>
    <x v="4"/>
    <n v="1"/>
    <n v="2500"/>
    <n v="5"/>
    <x v="3"/>
    <x v="1"/>
    <n v="2375"/>
    <s v="April"/>
    <n v="4"/>
    <x v="2"/>
  </r>
  <r>
    <s v="ORD1474"/>
    <d v="2026-05-11T00:00:00"/>
    <s v="Dinesh"/>
    <x v="2"/>
    <x v="3"/>
    <x v="23"/>
    <n v="5"/>
    <n v="500"/>
    <n v="5"/>
    <x v="1"/>
    <x v="1"/>
    <n v="2375"/>
    <s v="May"/>
    <n v="5"/>
    <x v="3"/>
  </r>
  <r>
    <s v="ORD1115"/>
    <d v="2026-01-15T00:00:00"/>
    <s v="Keerthana"/>
    <x v="1"/>
    <x v="0"/>
    <x v="12"/>
    <n v="3"/>
    <n v="900"/>
    <n v="15"/>
    <x v="1"/>
    <x v="3"/>
    <n v="2295"/>
    <s v="January"/>
    <n v="1"/>
    <x v="0"/>
  </r>
  <r>
    <s v="ORD1068"/>
    <d v="2026-03-28T00:00:00"/>
    <s v="Dinesh"/>
    <x v="3"/>
    <x v="4"/>
    <x v="13"/>
    <n v="3"/>
    <n v="900"/>
    <n v="15"/>
    <x v="2"/>
    <x v="1"/>
    <n v="2295"/>
    <s v="March"/>
    <n v="3"/>
    <x v="1"/>
  </r>
  <r>
    <s v="ORD1274"/>
    <d v="2026-05-17T00:00:00"/>
    <s v="Prakash"/>
    <x v="1"/>
    <x v="4"/>
    <x v="14"/>
    <n v="3"/>
    <n v="850"/>
    <n v="10"/>
    <x v="2"/>
    <x v="2"/>
    <n v="2295"/>
    <s v="May"/>
    <n v="5"/>
    <x v="3"/>
  </r>
  <r>
    <s v="ORD1241"/>
    <d v="2026-05-03T00:00:00"/>
    <s v="Prakash"/>
    <x v="2"/>
    <x v="4"/>
    <x v="14"/>
    <n v="3"/>
    <n v="850"/>
    <n v="10"/>
    <x v="2"/>
    <x v="1"/>
    <n v="2295"/>
    <s v="May"/>
    <n v="5"/>
    <x v="3"/>
  </r>
  <r>
    <s v="ORD1245"/>
    <d v="2026-03-26T00:00:00"/>
    <s v="Divya"/>
    <x v="3"/>
    <x v="2"/>
    <x v="20"/>
    <n v="3"/>
    <n v="800"/>
    <n v="5"/>
    <x v="0"/>
    <x v="0"/>
    <n v="2280"/>
    <s v="March"/>
    <n v="3"/>
    <x v="1"/>
  </r>
  <r>
    <s v="ORD1329"/>
    <d v="2026-04-23T00:00:00"/>
    <s v="Deepa"/>
    <x v="0"/>
    <x v="1"/>
    <x v="11"/>
    <n v="2"/>
    <n v="1200"/>
    <n v="5"/>
    <x v="2"/>
    <x v="2"/>
    <n v="2280"/>
    <s v="April"/>
    <n v="4"/>
    <x v="2"/>
  </r>
  <r>
    <s v="ORD1480"/>
    <d v="2026-06-21T00:00:00"/>
    <s v="Priya"/>
    <x v="2"/>
    <x v="2"/>
    <x v="20"/>
    <n v="3"/>
    <n v="800"/>
    <n v="5"/>
    <x v="2"/>
    <x v="0"/>
    <n v="2280"/>
    <s v="June"/>
    <n v="6"/>
    <x v="5"/>
  </r>
  <r>
    <s v="ORD1365"/>
    <d v="2026-01-07T00:00:00"/>
    <s v="Ananya"/>
    <x v="1"/>
    <x v="0"/>
    <x v="4"/>
    <n v="1"/>
    <n v="2500"/>
    <n v="10"/>
    <x v="0"/>
    <x v="2"/>
    <n v="2250"/>
    <s v="January"/>
    <n v="1"/>
    <x v="0"/>
  </r>
  <r>
    <s v="ORD1416"/>
    <d v="2026-03-10T00:00:00"/>
    <s v="Mohan"/>
    <x v="1"/>
    <x v="0"/>
    <x v="4"/>
    <n v="1"/>
    <n v="2500"/>
    <n v="10"/>
    <x v="2"/>
    <x v="0"/>
    <n v="2250"/>
    <s v="March"/>
    <n v="3"/>
    <x v="1"/>
  </r>
  <r>
    <s v="ORD1327"/>
    <d v="2026-03-10T00:00:00"/>
    <s v="Dinesh"/>
    <x v="1"/>
    <x v="3"/>
    <x v="24"/>
    <n v="5"/>
    <n v="450"/>
    <n v="0"/>
    <x v="3"/>
    <x v="3"/>
    <n v="2250"/>
    <s v="March"/>
    <n v="3"/>
    <x v="1"/>
  </r>
  <r>
    <s v="ORD1500"/>
    <d v="2026-03-16T00:00:00"/>
    <s v="Kavya"/>
    <x v="1"/>
    <x v="3"/>
    <x v="24"/>
    <n v="5"/>
    <n v="450"/>
    <n v="0"/>
    <x v="2"/>
    <x v="2"/>
    <n v="2250"/>
    <s v="March"/>
    <n v="3"/>
    <x v="1"/>
  </r>
  <r>
    <s v="ORD1112"/>
    <d v="2026-03-09T00:00:00"/>
    <s v="Rohit"/>
    <x v="3"/>
    <x v="0"/>
    <x v="4"/>
    <n v="1"/>
    <n v="2500"/>
    <n v="10"/>
    <x v="3"/>
    <x v="0"/>
    <n v="2250"/>
    <s v="March"/>
    <n v="3"/>
    <x v="1"/>
  </r>
  <r>
    <s v="ORD1146"/>
    <d v="2026-04-01T00:00:00"/>
    <s v="Deepa"/>
    <x v="3"/>
    <x v="0"/>
    <x v="4"/>
    <n v="1"/>
    <n v="2500"/>
    <n v="10"/>
    <x v="2"/>
    <x v="0"/>
    <n v="2250"/>
    <s v="April"/>
    <n v="4"/>
    <x v="2"/>
  </r>
  <r>
    <s v="ORD1393"/>
    <d v="2026-05-26T00:00:00"/>
    <s v="Priya"/>
    <x v="2"/>
    <x v="3"/>
    <x v="23"/>
    <n v="5"/>
    <n v="500"/>
    <n v="10"/>
    <x v="1"/>
    <x v="1"/>
    <n v="2250"/>
    <s v="May"/>
    <n v="5"/>
    <x v="3"/>
  </r>
  <r>
    <s v="ORD1411"/>
    <d v="2026-06-10T00:00:00"/>
    <s v="Karthik"/>
    <x v="1"/>
    <x v="4"/>
    <x v="17"/>
    <n v="3"/>
    <n v="750"/>
    <n v="0"/>
    <x v="0"/>
    <x v="2"/>
    <n v="2250"/>
    <s v="June"/>
    <n v="6"/>
    <x v="5"/>
  </r>
  <r>
    <s v="ORD1167"/>
    <d v="2026-05-22T00:00:00"/>
    <s v="Kavya"/>
    <x v="0"/>
    <x v="4"/>
    <x v="18"/>
    <n v="4"/>
    <n v="700"/>
    <n v="20"/>
    <x v="1"/>
    <x v="0"/>
    <n v="2240"/>
    <s v="May"/>
    <n v="5"/>
    <x v="3"/>
  </r>
  <r>
    <s v="ORD1493"/>
    <d v="2026-01-07T00:00:00"/>
    <s v="Ishita"/>
    <x v="1"/>
    <x v="3"/>
    <x v="22"/>
    <n v="5"/>
    <n v="550"/>
    <n v="20"/>
    <x v="3"/>
    <x v="2"/>
    <n v="2200"/>
    <s v="January"/>
    <n v="1"/>
    <x v="0"/>
  </r>
  <r>
    <s v="ORD1436"/>
    <d v="2026-04-29T00:00:00"/>
    <s v="Deepa"/>
    <x v="0"/>
    <x v="3"/>
    <x v="22"/>
    <n v="4"/>
    <n v="550"/>
    <n v="0"/>
    <x v="0"/>
    <x v="2"/>
    <n v="2200"/>
    <s v="April"/>
    <n v="4"/>
    <x v="2"/>
  </r>
  <r>
    <s v="ORD1093"/>
    <d v="2026-01-19T00:00:00"/>
    <s v="Lavanya"/>
    <x v="2"/>
    <x v="1"/>
    <x v="15"/>
    <n v="3"/>
    <n v="900"/>
    <n v="20"/>
    <x v="1"/>
    <x v="2"/>
    <n v="2160"/>
    <s v="January"/>
    <n v="1"/>
    <x v="0"/>
  </r>
  <r>
    <s v="ORD1497"/>
    <d v="2026-01-23T00:00:00"/>
    <s v="Rahul"/>
    <x v="0"/>
    <x v="1"/>
    <x v="11"/>
    <n v="2"/>
    <n v="1200"/>
    <n v="10"/>
    <x v="0"/>
    <x v="3"/>
    <n v="2160"/>
    <s v="January"/>
    <n v="1"/>
    <x v="0"/>
  </r>
  <r>
    <s v="ORD1487"/>
    <d v="2026-02-09T00:00:00"/>
    <s v="Priya"/>
    <x v="2"/>
    <x v="1"/>
    <x v="15"/>
    <n v="3"/>
    <n v="900"/>
    <n v="20"/>
    <x v="0"/>
    <x v="0"/>
    <n v="2160"/>
    <s v="February"/>
    <n v="2"/>
    <x v="4"/>
  </r>
  <r>
    <s v="ORD1081"/>
    <d v="2026-02-26T00:00:00"/>
    <s v="Suresh"/>
    <x v="2"/>
    <x v="0"/>
    <x v="12"/>
    <n v="3"/>
    <n v="900"/>
    <n v="20"/>
    <x v="2"/>
    <x v="2"/>
    <n v="2160"/>
    <s v="February"/>
    <n v="2"/>
    <x v="4"/>
  </r>
  <r>
    <s v="ORD1321"/>
    <d v="2026-03-03T00:00:00"/>
    <s v="Keerthana"/>
    <x v="0"/>
    <x v="1"/>
    <x v="11"/>
    <n v="2"/>
    <n v="1200"/>
    <n v="10"/>
    <x v="1"/>
    <x v="2"/>
    <n v="2160"/>
    <s v="March"/>
    <n v="3"/>
    <x v="1"/>
  </r>
  <r>
    <s v="ORD1165"/>
    <d v="2026-03-12T00:00:00"/>
    <s v="Akash"/>
    <x v="0"/>
    <x v="4"/>
    <x v="13"/>
    <n v="3"/>
    <n v="900"/>
    <n v="20"/>
    <x v="0"/>
    <x v="0"/>
    <n v="2160"/>
    <s v="March"/>
    <n v="3"/>
    <x v="1"/>
  </r>
  <r>
    <s v="ORD1464"/>
    <d v="2026-05-06T00:00:00"/>
    <s v="Rohit"/>
    <x v="2"/>
    <x v="2"/>
    <x v="20"/>
    <n v="3"/>
    <n v="800"/>
    <n v="10"/>
    <x v="0"/>
    <x v="3"/>
    <n v="2160"/>
    <s v="May"/>
    <n v="5"/>
    <x v="3"/>
  </r>
  <r>
    <s v="ORD1382"/>
    <d v="2026-05-03T00:00:00"/>
    <s v="Harini"/>
    <x v="3"/>
    <x v="4"/>
    <x v="13"/>
    <n v="3"/>
    <n v="900"/>
    <n v="20"/>
    <x v="2"/>
    <x v="2"/>
    <n v="2160"/>
    <s v="May"/>
    <n v="5"/>
    <x v="3"/>
  </r>
  <r>
    <s v="ORD1405"/>
    <d v="2026-06-14T00:00:00"/>
    <s v="Harini"/>
    <x v="3"/>
    <x v="1"/>
    <x v="11"/>
    <n v="2"/>
    <n v="1200"/>
    <n v="10"/>
    <x v="4"/>
    <x v="0"/>
    <n v="2160"/>
    <s v="June"/>
    <n v="6"/>
    <x v="5"/>
  </r>
  <r>
    <s v="ORD1012"/>
    <d v="2026-04-03T00:00:00"/>
    <s v="Ananya"/>
    <x v="2"/>
    <x v="3"/>
    <x v="23"/>
    <n v="5"/>
    <n v="500"/>
    <n v="15"/>
    <x v="0"/>
    <x v="1"/>
    <n v="2125"/>
    <s v="April"/>
    <n v="4"/>
    <x v="2"/>
  </r>
  <r>
    <s v="ORD1412"/>
    <d v="2026-05-22T00:00:00"/>
    <s v="Rohit"/>
    <x v="1"/>
    <x v="3"/>
    <x v="23"/>
    <n v="5"/>
    <n v="500"/>
    <n v="15"/>
    <x v="0"/>
    <x v="2"/>
    <n v="2125"/>
    <s v="May"/>
    <n v="5"/>
    <x v="3"/>
  </r>
  <r>
    <s v="ORD1358"/>
    <d v="2026-02-12T00:00:00"/>
    <s v="Nisha"/>
    <x v="2"/>
    <x v="4"/>
    <x v="18"/>
    <n v="3"/>
    <n v="700"/>
    <n v="0"/>
    <x v="0"/>
    <x v="3"/>
    <n v="2100"/>
    <s v="February"/>
    <n v="2"/>
    <x v="4"/>
  </r>
  <r>
    <s v="ORD1155"/>
    <d v="2026-04-12T00:00:00"/>
    <s v="Sneha"/>
    <x v="0"/>
    <x v="0"/>
    <x v="5"/>
    <n v="1"/>
    <n v="2200"/>
    <n v="5"/>
    <x v="2"/>
    <x v="3"/>
    <n v="2090"/>
    <s v="April"/>
    <n v="4"/>
    <x v="2"/>
  </r>
  <r>
    <s v="ORD1229"/>
    <d v="2026-04-05T00:00:00"/>
    <s v="Rohit"/>
    <x v="0"/>
    <x v="4"/>
    <x v="19"/>
    <n v="4"/>
    <n v="650"/>
    <n v="20"/>
    <x v="2"/>
    <x v="1"/>
    <n v="2080"/>
    <s v="April"/>
    <n v="4"/>
    <x v="2"/>
  </r>
  <r>
    <s v="ORD1326"/>
    <d v="2026-03-12T00:00:00"/>
    <s v="Ananya"/>
    <x v="1"/>
    <x v="1"/>
    <x v="11"/>
    <n v="2"/>
    <n v="1200"/>
    <n v="15"/>
    <x v="3"/>
    <x v="1"/>
    <n v="2040"/>
    <s v="March"/>
    <n v="3"/>
    <x v="1"/>
  </r>
  <r>
    <s v="ORD1090"/>
    <d v="2026-03-18T00:00:00"/>
    <s v="Deepa"/>
    <x v="3"/>
    <x v="4"/>
    <x v="14"/>
    <n v="3"/>
    <n v="850"/>
    <n v="20"/>
    <x v="0"/>
    <x v="1"/>
    <n v="2040"/>
    <s v="March"/>
    <n v="3"/>
    <x v="1"/>
  </r>
  <r>
    <s v="ORD1200"/>
    <d v="2026-03-02T00:00:00"/>
    <s v="Dinesh"/>
    <x v="1"/>
    <x v="2"/>
    <x v="20"/>
    <n v="3"/>
    <n v="800"/>
    <n v="15"/>
    <x v="0"/>
    <x v="3"/>
    <n v="2040"/>
    <s v="March"/>
    <n v="3"/>
    <x v="1"/>
  </r>
  <r>
    <s v="ORD1379"/>
    <d v="2026-04-01T00:00:00"/>
    <s v="Vijay"/>
    <x v="2"/>
    <x v="4"/>
    <x v="17"/>
    <n v="3"/>
    <n v="750"/>
    <n v="10"/>
    <x v="3"/>
    <x v="3"/>
    <n v="2025"/>
    <s v="April"/>
    <n v="4"/>
    <x v="2"/>
  </r>
  <r>
    <s v="ORD1336"/>
    <d v="2026-05-07T00:00:00"/>
    <s v="Sanjay"/>
    <x v="1"/>
    <x v="4"/>
    <x v="17"/>
    <n v="3"/>
    <n v="750"/>
    <n v="10"/>
    <x v="1"/>
    <x v="2"/>
    <n v="2025"/>
    <s v="May"/>
    <n v="5"/>
    <x v="3"/>
  </r>
  <r>
    <s v="ORD1423"/>
    <d v="2026-02-15T00:00:00"/>
    <s v="Deepa"/>
    <x v="3"/>
    <x v="3"/>
    <x v="23"/>
    <n v="5"/>
    <n v="500"/>
    <n v="20"/>
    <x v="2"/>
    <x v="0"/>
    <n v="2000"/>
    <s v="February"/>
    <n v="2"/>
    <x v="4"/>
  </r>
  <r>
    <s v="ORD1413"/>
    <d v="2026-02-08T00:00:00"/>
    <s v="Karthik"/>
    <x v="0"/>
    <x v="0"/>
    <x v="4"/>
    <n v="1"/>
    <n v="2500"/>
    <n v="20"/>
    <x v="0"/>
    <x v="0"/>
    <n v="2000"/>
    <s v="February"/>
    <n v="2"/>
    <x v="4"/>
  </r>
  <r>
    <s v="ORD1281"/>
    <d v="2026-04-06T00:00:00"/>
    <s v="Priya"/>
    <x v="3"/>
    <x v="3"/>
    <x v="23"/>
    <n v="4"/>
    <n v="500"/>
    <n v="0"/>
    <x v="0"/>
    <x v="2"/>
    <n v="2000"/>
    <s v="April"/>
    <n v="4"/>
    <x v="2"/>
  </r>
  <r>
    <s v="ORD1168"/>
    <d v="2026-05-09T00:00:00"/>
    <s v="Karthik"/>
    <x v="0"/>
    <x v="3"/>
    <x v="23"/>
    <n v="4"/>
    <n v="500"/>
    <n v="0"/>
    <x v="2"/>
    <x v="1"/>
    <n v="2000"/>
    <s v="May"/>
    <n v="5"/>
    <x v="3"/>
  </r>
  <r>
    <s v="ORD1016"/>
    <d v="2026-06-05T00:00:00"/>
    <s v="Vijay"/>
    <x v="2"/>
    <x v="1"/>
    <x v="16"/>
    <n v="3"/>
    <n v="700"/>
    <n v="5"/>
    <x v="0"/>
    <x v="0"/>
    <n v="1995"/>
    <s v="June"/>
    <n v="6"/>
    <x v="5"/>
  </r>
  <r>
    <s v="ORD1206"/>
    <d v="2026-02-05T00:00:00"/>
    <s v="Ananya"/>
    <x v="3"/>
    <x v="0"/>
    <x v="5"/>
    <n v="1"/>
    <n v="2200"/>
    <n v="10"/>
    <x v="2"/>
    <x v="2"/>
    <n v="1980"/>
    <s v="February"/>
    <n v="2"/>
    <x v="4"/>
  </r>
  <r>
    <s v="ORD1427"/>
    <d v="2026-06-14T00:00:00"/>
    <s v="Sanjay"/>
    <x v="3"/>
    <x v="3"/>
    <x v="22"/>
    <n v="4"/>
    <n v="550"/>
    <n v="10"/>
    <x v="3"/>
    <x v="0"/>
    <n v="1980"/>
    <s v="June"/>
    <n v="6"/>
    <x v="5"/>
  </r>
  <r>
    <s v="ORD1035"/>
    <d v="2026-05-10T00:00:00"/>
    <s v="Sanjay"/>
    <x v="2"/>
    <x v="3"/>
    <x v="21"/>
    <n v="3"/>
    <n v="650"/>
    <n v="0"/>
    <x v="1"/>
    <x v="0"/>
    <n v="1950"/>
    <s v="May"/>
    <n v="5"/>
    <x v="3"/>
  </r>
  <r>
    <s v="ORD1131"/>
    <d v="2026-05-06T00:00:00"/>
    <s v="Sneha"/>
    <x v="3"/>
    <x v="4"/>
    <x v="19"/>
    <n v="3"/>
    <n v="650"/>
    <n v="0"/>
    <x v="2"/>
    <x v="3"/>
    <n v="1950"/>
    <s v="May"/>
    <n v="5"/>
    <x v="3"/>
  </r>
  <r>
    <s v="ORD1259"/>
    <d v="2026-06-24T00:00:00"/>
    <s v="Lavanya"/>
    <x v="2"/>
    <x v="4"/>
    <x v="19"/>
    <n v="3"/>
    <n v="650"/>
    <n v="0"/>
    <x v="1"/>
    <x v="2"/>
    <n v="1950"/>
    <s v="June"/>
    <n v="6"/>
    <x v="5"/>
  </r>
  <r>
    <s v="ORD1328"/>
    <d v="2026-06-17T00:00:00"/>
    <s v="Dinesh"/>
    <x v="2"/>
    <x v="4"/>
    <x v="19"/>
    <n v="3"/>
    <n v="650"/>
    <n v="0"/>
    <x v="3"/>
    <x v="0"/>
    <n v="1950"/>
    <s v="June"/>
    <n v="6"/>
    <x v="5"/>
  </r>
  <r>
    <s v="ORD1352"/>
    <d v="2026-03-21T00:00:00"/>
    <s v="Rahul"/>
    <x v="2"/>
    <x v="1"/>
    <x v="11"/>
    <n v="2"/>
    <n v="1200"/>
    <n v="20"/>
    <x v="2"/>
    <x v="2"/>
    <n v="1920"/>
    <s v="March"/>
    <n v="3"/>
    <x v="1"/>
  </r>
  <r>
    <s v="ORD1256"/>
    <d v="2026-04-12T00:00:00"/>
    <s v="Sanjay"/>
    <x v="0"/>
    <x v="1"/>
    <x v="11"/>
    <n v="2"/>
    <n v="1200"/>
    <n v="20"/>
    <x v="0"/>
    <x v="1"/>
    <n v="1920"/>
    <s v="April"/>
    <n v="4"/>
    <x v="2"/>
  </r>
  <r>
    <s v="ORD1258"/>
    <d v="2026-02-04T00:00:00"/>
    <s v="Dinesh"/>
    <x v="3"/>
    <x v="4"/>
    <x v="17"/>
    <n v="3"/>
    <n v="750"/>
    <n v="15"/>
    <x v="3"/>
    <x v="2"/>
    <n v="1912.5"/>
    <s v="February"/>
    <n v="2"/>
    <x v="4"/>
  </r>
  <r>
    <s v="ORD1408"/>
    <d v="2026-04-10T00:00:00"/>
    <s v="Surya"/>
    <x v="3"/>
    <x v="3"/>
    <x v="24"/>
    <n v="5"/>
    <n v="450"/>
    <n v="15"/>
    <x v="1"/>
    <x v="2"/>
    <n v="1912.5"/>
    <s v="April"/>
    <n v="4"/>
    <x v="2"/>
  </r>
  <r>
    <s v="ORD1067"/>
    <d v="2026-04-29T00:00:00"/>
    <s v="Divya"/>
    <x v="0"/>
    <x v="4"/>
    <x v="17"/>
    <n v="3"/>
    <n v="750"/>
    <n v="15"/>
    <x v="2"/>
    <x v="3"/>
    <n v="1912.5"/>
    <s v="April"/>
    <n v="4"/>
    <x v="2"/>
  </r>
  <r>
    <s v="ORD1269"/>
    <d v="2026-04-17T00:00:00"/>
    <s v="Harini"/>
    <x v="2"/>
    <x v="3"/>
    <x v="23"/>
    <n v="4"/>
    <n v="500"/>
    <n v="5"/>
    <x v="2"/>
    <x v="3"/>
    <n v="1900"/>
    <s v="April"/>
    <n v="4"/>
    <x v="2"/>
  </r>
  <r>
    <s v="ORD1007"/>
    <d v="2026-01-21T00:00:00"/>
    <s v="Deepa"/>
    <x v="2"/>
    <x v="2"/>
    <x v="7"/>
    <n v="1"/>
    <n v="2200"/>
    <n v="15"/>
    <x v="2"/>
    <x v="2"/>
    <n v="1870"/>
    <s v="January"/>
    <n v="1"/>
    <x v="0"/>
  </r>
  <r>
    <s v="ORD1156"/>
    <d v="2026-03-16T00:00:00"/>
    <s v="Rohit"/>
    <x v="0"/>
    <x v="2"/>
    <x v="7"/>
    <n v="1"/>
    <n v="2200"/>
    <n v="15"/>
    <x v="3"/>
    <x v="3"/>
    <n v="1870"/>
    <s v="March"/>
    <n v="3"/>
    <x v="1"/>
  </r>
  <r>
    <s v="ORD1415"/>
    <d v="2026-04-14T00:00:00"/>
    <s v="Karthik"/>
    <x v="3"/>
    <x v="2"/>
    <x v="7"/>
    <n v="1"/>
    <n v="2200"/>
    <n v="15"/>
    <x v="2"/>
    <x v="3"/>
    <n v="1870"/>
    <s v="April"/>
    <n v="4"/>
    <x v="2"/>
  </r>
  <r>
    <s v="ORD1076"/>
    <d v="2026-06-07T00:00:00"/>
    <s v="Kavya"/>
    <x v="3"/>
    <x v="3"/>
    <x v="22"/>
    <n v="4"/>
    <n v="550"/>
    <n v="15"/>
    <x v="2"/>
    <x v="0"/>
    <n v="1870"/>
    <s v="June"/>
    <n v="6"/>
    <x v="5"/>
  </r>
  <r>
    <s v="ORD1424"/>
    <d v="2026-06-26T00:00:00"/>
    <s v="Rahul"/>
    <x v="1"/>
    <x v="2"/>
    <x v="7"/>
    <n v="1"/>
    <n v="2200"/>
    <n v="15"/>
    <x v="0"/>
    <x v="3"/>
    <n v="1870"/>
    <s v="June"/>
    <n v="6"/>
    <x v="5"/>
  </r>
  <r>
    <s v="ORD1017"/>
    <d v="2026-01-29T00:00:00"/>
    <s v="Ishita"/>
    <x v="1"/>
    <x v="4"/>
    <x v="19"/>
    <n v="3"/>
    <n v="650"/>
    <n v="5"/>
    <x v="0"/>
    <x v="3"/>
    <n v="1852.5"/>
    <s v="January"/>
    <n v="1"/>
    <x v="0"/>
  </r>
  <r>
    <s v="ORD1210"/>
    <d v="2026-03-19T00:00:00"/>
    <s v="Divya"/>
    <x v="2"/>
    <x v="3"/>
    <x v="21"/>
    <n v="3"/>
    <n v="650"/>
    <n v="5"/>
    <x v="2"/>
    <x v="0"/>
    <n v="1852.5"/>
    <s v="March"/>
    <n v="3"/>
    <x v="1"/>
  </r>
  <r>
    <s v="ORD1071"/>
    <d v="2026-04-30T00:00:00"/>
    <s v="Gokul"/>
    <x v="1"/>
    <x v="3"/>
    <x v="21"/>
    <n v="3"/>
    <n v="650"/>
    <n v="5"/>
    <x v="0"/>
    <x v="3"/>
    <n v="1852.5"/>
    <s v="April"/>
    <n v="4"/>
    <x v="2"/>
  </r>
  <r>
    <s v="ORD1338"/>
    <d v="2026-04-20T00:00:00"/>
    <s v="Vijay"/>
    <x v="2"/>
    <x v="4"/>
    <x v="19"/>
    <n v="3"/>
    <n v="650"/>
    <n v="5"/>
    <x v="2"/>
    <x v="1"/>
    <n v="1852.5"/>
    <s v="April"/>
    <n v="4"/>
    <x v="2"/>
  </r>
  <r>
    <s v="ORD1354"/>
    <d v="2026-04-27T00:00:00"/>
    <s v="Sneha"/>
    <x v="0"/>
    <x v="4"/>
    <x v="19"/>
    <n v="3"/>
    <n v="650"/>
    <n v="5"/>
    <x v="0"/>
    <x v="1"/>
    <n v="1852.5"/>
    <s v="April"/>
    <n v="4"/>
    <x v="2"/>
  </r>
  <r>
    <s v="ORD1151"/>
    <d v="2026-04-07T00:00:00"/>
    <s v="Pooja"/>
    <x v="3"/>
    <x v="3"/>
    <x v="21"/>
    <n v="3"/>
    <n v="650"/>
    <n v="5"/>
    <x v="2"/>
    <x v="0"/>
    <n v="1852.5"/>
    <s v="April"/>
    <n v="4"/>
    <x v="2"/>
  </r>
  <r>
    <s v="ORD1253"/>
    <d v="2026-01-16T00:00:00"/>
    <s v="Surya"/>
    <x v="2"/>
    <x v="3"/>
    <x v="24"/>
    <n v="5"/>
    <n v="450"/>
    <n v="20"/>
    <x v="1"/>
    <x v="3"/>
    <n v="1800"/>
    <s v="January"/>
    <n v="1"/>
    <x v="0"/>
  </r>
  <r>
    <s v="ORD1142"/>
    <d v="2026-03-17T00:00:00"/>
    <s v="Aditya"/>
    <x v="3"/>
    <x v="3"/>
    <x v="6"/>
    <n v="1"/>
    <n v="1800"/>
    <n v="0"/>
    <x v="1"/>
    <x v="2"/>
    <n v="1800"/>
    <s v="March"/>
    <n v="3"/>
    <x v="1"/>
  </r>
  <r>
    <s v="ORD1123"/>
    <d v="2026-04-23T00:00:00"/>
    <s v="Priya"/>
    <x v="1"/>
    <x v="0"/>
    <x v="12"/>
    <n v="2"/>
    <n v="900"/>
    <n v="0"/>
    <x v="2"/>
    <x v="0"/>
    <n v="1800"/>
    <s v="April"/>
    <n v="4"/>
    <x v="2"/>
  </r>
  <r>
    <s v="ORD1226"/>
    <d v="2026-04-13T00:00:00"/>
    <s v="Manoj"/>
    <x v="0"/>
    <x v="3"/>
    <x v="6"/>
    <n v="1"/>
    <n v="1800"/>
    <n v="0"/>
    <x v="1"/>
    <x v="0"/>
    <n v="1800"/>
    <s v="April"/>
    <n v="4"/>
    <x v="2"/>
  </r>
  <r>
    <s v="ORD1489"/>
    <d v="2026-05-10T00:00:00"/>
    <s v="Divya"/>
    <x v="3"/>
    <x v="3"/>
    <x v="24"/>
    <n v="5"/>
    <n v="450"/>
    <n v="20"/>
    <x v="3"/>
    <x v="1"/>
    <n v="1800"/>
    <s v="May"/>
    <n v="5"/>
    <x v="3"/>
  </r>
  <r>
    <s v="ORD1119"/>
    <d v="2026-03-18T00:00:00"/>
    <s v="Prakash"/>
    <x v="3"/>
    <x v="1"/>
    <x v="16"/>
    <n v="3"/>
    <n v="700"/>
    <n v="15"/>
    <x v="2"/>
    <x v="3"/>
    <n v="1785"/>
    <s v="March"/>
    <n v="3"/>
    <x v="1"/>
  </r>
  <r>
    <s v="ORD1414"/>
    <d v="2026-04-16T00:00:00"/>
    <s v="Sanjay"/>
    <x v="3"/>
    <x v="3"/>
    <x v="22"/>
    <n v="4"/>
    <n v="550"/>
    <n v="20"/>
    <x v="3"/>
    <x v="1"/>
    <n v="1760"/>
    <s v="April"/>
    <n v="4"/>
    <x v="2"/>
  </r>
  <r>
    <s v="ORD1398"/>
    <d v="2026-01-09T00:00:00"/>
    <s v="Keerthana"/>
    <x v="0"/>
    <x v="4"/>
    <x v="19"/>
    <n v="3"/>
    <n v="650"/>
    <n v="10"/>
    <x v="0"/>
    <x v="1"/>
    <n v="1755"/>
    <s v="January"/>
    <n v="1"/>
    <x v="0"/>
  </r>
  <r>
    <s v="ORD1485"/>
    <d v="2026-02-15T00:00:00"/>
    <s v="Lavanya"/>
    <x v="0"/>
    <x v="1"/>
    <x v="15"/>
    <n v="2"/>
    <n v="900"/>
    <n v="5"/>
    <x v="0"/>
    <x v="2"/>
    <n v="1710"/>
    <s v="February"/>
    <n v="2"/>
    <x v="4"/>
  </r>
  <r>
    <s v="ORD1043"/>
    <d v="2026-02-15T00:00:00"/>
    <s v="Mohan"/>
    <x v="3"/>
    <x v="2"/>
    <x v="8"/>
    <n v="1"/>
    <n v="1800"/>
    <n v="5"/>
    <x v="2"/>
    <x v="2"/>
    <n v="1710"/>
    <s v="February"/>
    <n v="2"/>
    <x v="4"/>
  </r>
  <r>
    <s v="ORD1476"/>
    <d v="2026-03-29T00:00:00"/>
    <s v="Keerthana"/>
    <x v="3"/>
    <x v="1"/>
    <x v="15"/>
    <n v="2"/>
    <n v="900"/>
    <n v="5"/>
    <x v="3"/>
    <x v="0"/>
    <n v="1710"/>
    <s v="March"/>
    <n v="3"/>
    <x v="1"/>
  </r>
  <r>
    <s v="ORD1395"/>
    <d v="2026-04-25T00:00:00"/>
    <s v="Arun"/>
    <x v="1"/>
    <x v="0"/>
    <x v="12"/>
    <n v="2"/>
    <n v="900"/>
    <n v="5"/>
    <x v="0"/>
    <x v="0"/>
    <n v="1710"/>
    <s v="April"/>
    <n v="4"/>
    <x v="2"/>
  </r>
  <r>
    <s v="ORD1470"/>
    <d v="2026-04-06T00:00:00"/>
    <s v="Gokul"/>
    <x v="0"/>
    <x v="3"/>
    <x v="6"/>
    <n v="1"/>
    <n v="1800"/>
    <n v="5"/>
    <x v="3"/>
    <x v="3"/>
    <n v="1710"/>
    <s v="April"/>
    <n v="4"/>
    <x v="2"/>
  </r>
  <r>
    <s v="ORD1150"/>
    <d v="2026-05-25T00:00:00"/>
    <s v="Lavanya"/>
    <x v="3"/>
    <x v="2"/>
    <x v="8"/>
    <n v="1"/>
    <n v="1800"/>
    <n v="5"/>
    <x v="0"/>
    <x v="1"/>
    <n v="1710"/>
    <s v="May"/>
    <n v="5"/>
    <x v="3"/>
  </r>
  <r>
    <s v="ORD1179"/>
    <d v="2026-05-09T00:00:00"/>
    <s v="Manoj"/>
    <x v="3"/>
    <x v="1"/>
    <x v="15"/>
    <n v="2"/>
    <n v="900"/>
    <n v="5"/>
    <x v="1"/>
    <x v="0"/>
    <n v="1710"/>
    <s v="May"/>
    <n v="5"/>
    <x v="3"/>
  </r>
  <r>
    <s v="ORD1417"/>
    <d v="2026-06-28T00:00:00"/>
    <s v="Lavanya"/>
    <x v="0"/>
    <x v="1"/>
    <x v="15"/>
    <n v="2"/>
    <n v="900"/>
    <n v="5"/>
    <x v="2"/>
    <x v="2"/>
    <n v="1710"/>
    <s v="June"/>
    <n v="6"/>
    <x v="5"/>
  </r>
  <r>
    <s v="ORD1227"/>
    <d v="2026-04-27T00:00:00"/>
    <s v="Karthik"/>
    <x v="2"/>
    <x v="4"/>
    <x v="18"/>
    <n v="3"/>
    <n v="700"/>
    <n v="20"/>
    <x v="2"/>
    <x v="3"/>
    <n v="1680"/>
    <s v="April"/>
    <n v="4"/>
    <x v="2"/>
  </r>
  <r>
    <s v="ORD1488"/>
    <d v="2026-05-21T00:00:00"/>
    <s v="Nisha"/>
    <x v="0"/>
    <x v="4"/>
    <x v="18"/>
    <n v="3"/>
    <n v="700"/>
    <n v="20"/>
    <x v="1"/>
    <x v="3"/>
    <n v="1680"/>
    <s v="May"/>
    <n v="5"/>
    <x v="3"/>
  </r>
  <r>
    <s v="ORD1216"/>
    <d v="2026-03-22T00:00:00"/>
    <s v="Deepa"/>
    <x v="1"/>
    <x v="3"/>
    <x v="21"/>
    <n v="3"/>
    <n v="650"/>
    <n v="15"/>
    <x v="1"/>
    <x v="0"/>
    <n v="1657.5"/>
    <s v="March"/>
    <n v="3"/>
    <x v="1"/>
  </r>
  <r>
    <s v="ORD1451"/>
    <d v="2026-03-09T00:00:00"/>
    <s v="Surya"/>
    <x v="2"/>
    <x v="3"/>
    <x v="21"/>
    <n v="3"/>
    <n v="650"/>
    <n v="15"/>
    <x v="2"/>
    <x v="3"/>
    <n v="1657.5"/>
    <s v="March"/>
    <n v="3"/>
    <x v="1"/>
  </r>
  <r>
    <s v="ORD1211"/>
    <d v="2026-02-20T00:00:00"/>
    <s v="Prakash"/>
    <x v="1"/>
    <x v="0"/>
    <x v="12"/>
    <n v="2"/>
    <n v="900"/>
    <n v="10"/>
    <x v="0"/>
    <x v="3"/>
    <n v="1620"/>
    <s v="February"/>
    <n v="2"/>
    <x v="4"/>
  </r>
  <r>
    <s v="ORD1491"/>
    <d v="2026-05-02T00:00:00"/>
    <s v="Harini"/>
    <x v="0"/>
    <x v="3"/>
    <x v="6"/>
    <n v="1"/>
    <n v="1800"/>
    <n v="10"/>
    <x v="3"/>
    <x v="3"/>
    <n v="1620"/>
    <s v="May"/>
    <n v="5"/>
    <x v="3"/>
  </r>
  <r>
    <s v="ORD1478"/>
    <d v="2026-05-09T00:00:00"/>
    <s v="Harini"/>
    <x v="1"/>
    <x v="2"/>
    <x v="8"/>
    <n v="1"/>
    <n v="1800"/>
    <n v="10"/>
    <x v="3"/>
    <x v="2"/>
    <n v="1620"/>
    <s v="May"/>
    <n v="5"/>
    <x v="3"/>
  </r>
  <r>
    <s v="ORD1292"/>
    <d v="2026-06-02T00:00:00"/>
    <s v="Suresh"/>
    <x v="1"/>
    <x v="3"/>
    <x v="6"/>
    <n v="1"/>
    <n v="1800"/>
    <n v="10"/>
    <x v="3"/>
    <x v="2"/>
    <n v="1620"/>
    <s v="June"/>
    <n v="6"/>
    <x v="5"/>
  </r>
  <r>
    <s v="ORD1192"/>
    <d v="2026-04-28T00:00:00"/>
    <s v="Priya"/>
    <x v="1"/>
    <x v="2"/>
    <x v="20"/>
    <n v="2"/>
    <n v="800"/>
    <n v="0"/>
    <x v="1"/>
    <x v="1"/>
    <n v="1600"/>
    <s v="April"/>
    <n v="4"/>
    <x v="2"/>
  </r>
  <r>
    <s v="ORD1136"/>
    <d v="2026-06-19T00:00:00"/>
    <s v="Deepa"/>
    <x v="0"/>
    <x v="2"/>
    <x v="20"/>
    <n v="2"/>
    <n v="800"/>
    <n v="0"/>
    <x v="2"/>
    <x v="3"/>
    <n v="1600"/>
    <s v="June"/>
    <n v="6"/>
    <x v="5"/>
  </r>
  <r>
    <s v="ORD1357"/>
    <d v="2026-03-09T00:00:00"/>
    <s v="Gokul"/>
    <x v="0"/>
    <x v="3"/>
    <x v="24"/>
    <n v="4"/>
    <n v="450"/>
    <n v="15"/>
    <x v="2"/>
    <x v="1"/>
    <n v="1530"/>
    <s v="March"/>
    <n v="3"/>
    <x v="1"/>
  </r>
  <r>
    <s v="ORD1468"/>
    <d v="2026-04-04T00:00:00"/>
    <s v="Surya"/>
    <x v="0"/>
    <x v="4"/>
    <x v="13"/>
    <n v="2"/>
    <n v="900"/>
    <n v="15"/>
    <x v="2"/>
    <x v="2"/>
    <n v="1530"/>
    <s v="April"/>
    <n v="4"/>
    <x v="2"/>
  </r>
  <r>
    <s v="ORD1362"/>
    <d v="2026-05-13T00:00:00"/>
    <s v="Priya"/>
    <x v="3"/>
    <x v="2"/>
    <x v="8"/>
    <n v="1"/>
    <n v="1800"/>
    <n v="15"/>
    <x v="2"/>
    <x v="0"/>
    <n v="1530"/>
    <s v="May"/>
    <n v="5"/>
    <x v="3"/>
  </r>
  <r>
    <s v="ORD1460"/>
    <d v="2026-06-25T00:00:00"/>
    <s v="Mohan"/>
    <x v="2"/>
    <x v="3"/>
    <x v="24"/>
    <n v="4"/>
    <n v="450"/>
    <n v="15"/>
    <x v="0"/>
    <x v="2"/>
    <n v="1530"/>
    <s v="June"/>
    <n v="6"/>
    <x v="5"/>
  </r>
  <r>
    <s v="ORD1051"/>
    <d v="2026-06-28T00:00:00"/>
    <s v="Keerthana"/>
    <x v="2"/>
    <x v="1"/>
    <x v="15"/>
    <n v="2"/>
    <n v="900"/>
    <n v="15"/>
    <x v="3"/>
    <x v="3"/>
    <n v="1530"/>
    <s v="June"/>
    <n v="6"/>
    <x v="5"/>
  </r>
  <r>
    <s v="ORD1429"/>
    <d v="2026-06-05T00:00:00"/>
    <s v="Keerthana"/>
    <x v="1"/>
    <x v="3"/>
    <x v="6"/>
    <n v="1"/>
    <n v="1800"/>
    <n v="15"/>
    <x v="0"/>
    <x v="0"/>
    <n v="1530"/>
    <s v="June"/>
    <n v="6"/>
    <x v="5"/>
  </r>
  <r>
    <s v="ORD1144"/>
    <d v="2026-06-20T00:00:00"/>
    <s v="Sanjay"/>
    <x v="1"/>
    <x v="4"/>
    <x v="13"/>
    <n v="2"/>
    <n v="900"/>
    <n v="15"/>
    <x v="0"/>
    <x v="1"/>
    <n v="1530"/>
    <s v="June"/>
    <n v="6"/>
    <x v="5"/>
  </r>
  <r>
    <s v="ORD1283"/>
    <d v="2026-01-25T00:00:00"/>
    <s v="Manoj"/>
    <x v="2"/>
    <x v="2"/>
    <x v="20"/>
    <n v="2"/>
    <n v="800"/>
    <n v="5"/>
    <x v="2"/>
    <x v="0"/>
    <n v="1520"/>
    <s v="January"/>
    <n v="1"/>
    <x v="0"/>
  </r>
  <r>
    <s v="ORD1410"/>
    <d v="2026-02-12T00:00:00"/>
    <s v="Vijay"/>
    <x v="2"/>
    <x v="4"/>
    <x v="17"/>
    <n v="2"/>
    <n v="750"/>
    <n v="0"/>
    <x v="3"/>
    <x v="1"/>
    <n v="1500"/>
    <s v="February"/>
    <n v="2"/>
    <x v="4"/>
  </r>
  <r>
    <s v="ORD1047"/>
    <d v="2026-03-08T00:00:00"/>
    <s v="Divya"/>
    <x v="1"/>
    <x v="0"/>
    <x v="10"/>
    <n v="1"/>
    <n v="1500"/>
    <n v="0"/>
    <x v="3"/>
    <x v="0"/>
    <n v="1500"/>
    <s v="March"/>
    <n v="3"/>
    <x v="1"/>
  </r>
  <r>
    <s v="ORD1149"/>
    <d v="2026-01-08T00:00:00"/>
    <s v="Divya"/>
    <x v="1"/>
    <x v="3"/>
    <x v="22"/>
    <n v="3"/>
    <n v="550"/>
    <n v="10"/>
    <x v="2"/>
    <x v="1"/>
    <n v="1485"/>
    <s v="January"/>
    <n v="1"/>
    <x v="0"/>
  </r>
  <r>
    <s v="ORD1188"/>
    <d v="2026-01-01T00:00:00"/>
    <s v="Sneha"/>
    <x v="1"/>
    <x v="1"/>
    <x v="15"/>
    <n v="2"/>
    <n v="900"/>
    <n v="20"/>
    <x v="3"/>
    <x v="3"/>
    <n v="1440"/>
    <s v="January"/>
    <n v="1"/>
    <x v="0"/>
  </r>
  <r>
    <s v="ORD1421"/>
    <d v="2026-04-27T00:00:00"/>
    <s v="Priya"/>
    <x v="1"/>
    <x v="2"/>
    <x v="20"/>
    <n v="2"/>
    <n v="800"/>
    <n v="10"/>
    <x v="2"/>
    <x v="2"/>
    <n v="1440"/>
    <s v="April"/>
    <n v="4"/>
    <x v="2"/>
  </r>
  <r>
    <s v="ORD1231"/>
    <d v="2026-04-08T00:00:00"/>
    <s v="Karthik"/>
    <x v="2"/>
    <x v="3"/>
    <x v="6"/>
    <n v="1"/>
    <n v="1800"/>
    <n v="20"/>
    <x v="0"/>
    <x v="3"/>
    <n v="1440"/>
    <s v="April"/>
    <n v="4"/>
    <x v="2"/>
  </r>
  <r>
    <s v="ORD1261"/>
    <d v="2026-02-28T00:00:00"/>
    <s v="Ananya"/>
    <x v="3"/>
    <x v="3"/>
    <x v="23"/>
    <n v="3"/>
    <n v="500"/>
    <n v="5"/>
    <x v="2"/>
    <x v="3"/>
    <n v="1425"/>
    <s v="February"/>
    <n v="2"/>
    <x v="4"/>
  </r>
  <r>
    <s v="ORD1025"/>
    <d v="2026-04-14T00:00:00"/>
    <s v="Aishwarya"/>
    <x v="1"/>
    <x v="0"/>
    <x v="10"/>
    <n v="1"/>
    <n v="1500"/>
    <n v="5"/>
    <x v="1"/>
    <x v="3"/>
    <n v="1425"/>
    <s v="April"/>
    <n v="4"/>
    <x v="2"/>
  </r>
  <r>
    <s v="ORD1041"/>
    <d v="2026-05-22T00:00:00"/>
    <s v="Karthik"/>
    <x v="2"/>
    <x v="1"/>
    <x v="16"/>
    <n v="2"/>
    <n v="700"/>
    <n v="0"/>
    <x v="2"/>
    <x v="0"/>
    <n v="1400"/>
    <s v="May"/>
    <n v="5"/>
    <x v="3"/>
  </r>
  <r>
    <s v="ORD1339"/>
    <d v="2026-01-22T00:00:00"/>
    <s v="Nisha"/>
    <x v="2"/>
    <x v="1"/>
    <x v="9"/>
    <n v="1"/>
    <n v="1600"/>
    <n v="15"/>
    <x v="2"/>
    <x v="3"/>
    <n v="1360"/>
    <s v="January"/>
    <n v="1"/>
    <x v="0"/>
  </r>
  <r>
    <s v="ORD1011"/>
    <d v="2026-02-06T00:00:00"/>
    <s v="Sanjay"/>
    <x v="2"/>
    <x v="4"/>
    <x v="14"/>
    <n v="2"/>
    <n v="850"/>
    <n v="20"/>
    <x v="2"/>
    <x v="2"/>
    <n v="1360"/>
    <s v="February"/>
    <n v="2"/>
    <x v="4"/>
  </r>
  <r>
    <s v="ORD1077"/>
    <d v="2026-03-13T00:00:00"/>
    <s v="Mohan"/>
    <x v="3"/>
    <x v="2"/>
    <x v="20"/>
    <n v="2"/>
    <n v="800"/>
    <n v="15"/>
    <x v="3"/>
    <x v="0"/>
    <n v="1360"/>
    <s v="March"/>
    <n v="3"/>
    <x v="1"/>
  </r>
  <r>
    <s v="ORD1191"/>
    <d v="2026-04-01T00:00:00"/>
    <s v="Harini"/>
    <x v="1"/>
    <x v="2"/>
    <x v="20"/>
    <n v="2"/>
    <n v="800"/>
    <n v="15"/>
    <x v="3"/>
    <x v="3"/>
    <n v="1360"/>
    <s v="April"/>
    <n v="4"/>
    <x v="2"/>
  </r>
  <r>
    <s v="ORD1335"/>
    <d v="2026-01-24T00:00:00"/>
    <s v="Aishwarya"/>
    <x v="3"/>
    <x v="3"/>
    <x v="24"/>
    <n v="3"/>
    <n v="450"/>
    <n v="0"/>
    <x v="3"/>
    <x v="3"/>
    <n v="1350"/>
    <s v="January"/>
    <n v="1"/>
    <x v="0"/>
  </r>
  <r>
    <s v="ORD1394"/>
    <d v="2026-03-26T00:00:00"/>
    <s v="Aishwarya"/>
    <x v="0"/>
    <x v="4"/>
    <x v="17"/>
    <n v="2"/>
    <n v="750"/>
    <n v="10"/>
    <x v="2"/>
    <x v="3"/>
    <n v="1350"/>
    <s v="March"/>
    <n v="3"/>
    <x v="1"/>
  </r>
  <r>
    <s v="ORD1287"/>
    <d v="2026-01-25T00:00:00"/>
    <s v="Mohan"/>
    <x v="0"/>
    <x v="1"/>
    <x v="16"/>
    <n v="2"/>
    <n v="700"/>
    <n v="5"/>
    <x v="3"/>
    <x v="0"/>
    <n v="1330"/>
    <s v="January"/>
    <n v="1"/>
    <x v="0"/>
  </r>
  <r>
    <s v="ORD1317"/>
    <d v="2026-04-20T00:00:00"/>
    <s v="Suresh"/>
    <x v="0"/>
    <x v="4"/>
    <x v="18"/>
    <n v="2"/>
    <n v="700"/>
    <n v="5"/>
    <x v="2"/>
    <x v="1"/>
    <n v="1330"/>
    <s v="April"/>
    <n v="4"/>
    <x v="2"/>
  </r>
  <r>
    <s v="ORD1152"/>
    <d v="2026-06-02T00:00:00"/>
    <s v="Rahul"/>
    <x v="0"/>
    <x v="1"/>
    <x v="16"/>
    <n v="2"/>
    <n v="700"/>
    <n v="5"/>
    <x v="0"/>
    <x v="1"/>
    <n v="1330"/>
    <s v="June"/>
    <n v="6"/>
    <x v="5"/>
  </r>
  <r>
    <s v="ORD1386"/>
    <d v="2026-06-28T00:00:00"/>
    <s v="Nisha"/>
    <x v="0"/>
    <x v="3"/>
    <x v="22"/>
    <n v="3"/>
    <n v="550"/>
    <n v="20"/>
    <x v="1"/>
    <x v="3"/>
    <n v="1320"/>
    <s v="June"/>
    <n v="6"/>
    <x v="5"/>
  </r>
  <r>
    <s v="ORD1050"/>
    <d v="2026-06-19T00:00:00"/>
    <s v="Deepa"/>
    <x v="0"/>
    <x v="3"/>
    <x v="22"/>
    <n v="3"/>
    <n v="550"/>
    <n v="20"/>
    <x v="2"/>
    <x v="2"/>
    <n v="1320"/>
    <s v="June"/>
    <n v="6"/>
    <x v="5"/>
  </r>
  <r>
    <s v="ORD1403"/>
    <d v="2026-03-17T00:00:00"/>
    <s v="Surya"/>
    <x v="3"/>
    <x v="4"/>
    <x v="19"/>
    <n v="2"/>
    <n v="650"/>
    <n v="0"/>
    <x v="0"/>
    <x v="3"/>
    <n v="1300"/>
    <s v="March"/>
    <n v="3"/>
    <x v="1"/>
  </r>
  <r>
    <s v="ORD1471"/>
    <d v="2026-03-07T00:00:00"/>
    <s v="Sneha"/>
    <x v="2"/>
    <x v="4"/>
    <x v="19"/>
    <n v="2"/>
    <n v="650"/>
    <n v="0"/>
    <x v="3"/>
    <x v="3"/>
    <n v="1300"/>
    <s v="March"/>
    <n v="3"/>
    <x v="1"/>
  </r>
  <r>
    <s v="ORD1069"/>
    <d v="2026-05-19T00:00:00"/>
    <s v="Priya"/>
    <x v="1"/>
    <x v="4"/>
    <x v="19"/>
    <n v="2"/>
    <n v="650"/>
    <n v="0"/>
    <x v="0"/>
    <x v="1"/>
    <n v="1300"/>
    <s v="May"/>
    <n v="5"/>
    <x v="3"/>
  </r>
  <r>
    <s v="ORD1385"/>
    <d v="2026-02-26T00:00:00"/>
    <s v="Akash"/>
    <x v="3"/>
    <x v="3"/>
    <x v="24"/>
    <n v="3"/>
    <n v="450"/>
    <n v="5"/>
    <x v="1"/>
    <x v="3"/>
    <n v="1282.5"/>
    <s v="February"/>
    <n v="2"/>
    <x v="4"/>
  </r>
  <r>
    <s v="ORD1098"/>
    <d v="2026-02-14T00:00:00"/>
    <s v="Swetha"/>
    <x v="3"/>
    <x v="3"/>
    <x v="24"/>
    <n v="3"/>
    <n v="450"/>
    <n v="5"/>
    <x v="4"/>
    <x v="2"/>
    <n v="1282.5"/>
    <s v="February"/>
    <n v="2"/>
    <x v="4"/>
  </r>
  <r>
    <s v="ORD1318"/>
    <d v="2026-05-18T00:00:00"/>
    <s v="Divya"/>
    <x v="1"/>
    <x v="3"/>
    <x v="24"/>
    <n v="3"/>
    <n v="450"/>
    <n v="5"/>
    <x v="3"/>
    <x v="1"/>
    <n v="1282.5"/>
    <s v="May"/>
    <n v="5"/>
    <x v="3"/>
  </r>
  <r>
    <s v="ORD1161"/>
    <d v="2026-02-26T00:00:00"/>
    <s v="Rohit"/>
    <x v="2"/>
    <x v="1"/>
    <x v="9"/>
    <n v="1"/>
    <n v="1600"/>
    <n v="20"/>
    <x v="0"/>
    <x v="3"/>
    <n v="1280"/>
    <s v="February"/>
    <n v="2"/>
    <x v="4"/>
  </r>
  <r>
    <s v="ORD1481"/>
    <d v="2026-06-26T00:00:00"/>
    <s v="Kavya"/>
    <x v="1"/>
    <x v="2"/>
    <x v="20"/>
    <n v="2"/>
    <n v="800"/>
    <n v="20"/>
    <x v="0"/>
    <x v="0"/>
    <n v="1280"/>
    <s v="June"/>
    <n v="6"/>
    <x v="5"/>
  </r>
  <r>
    <s v="ORD1026"/>
    <d v="2026-02-05T00:00:00"/>
    <s v="Pooja"/>
    <x v="2"/>
    <x v="3"/>
    <x v="23"/>
    <n v="3"/>
    <n v="500"/>
    <n v="15"/>
    <x v="0"/>
    <x v="1"/>
    <n v="1275"/>
    <s v="February"/>
    <n v="2"/>
    <x v="4"/>
  </r>
  <r>
    <s v="ORD1023"/>
    <d v="2026-05-19T00:00:00"/>
    <s v="Karthik"/>
    <x v="3"/>
    <x v="4"/>
    <x v="17"/>
    <n v="2"/>
    <n v="750"/>
    <n v="15"/>
    <x v="3"/>
    <x v="3"/>
    <n v="1275"/>
    <s v="May"/>
    <n v="5"/>
    <x v="3"/>
  </r>
  <r>
    <s v="ORD1113"/>
    <d v="2026-01-10T00:00:00"/>
    <s v="Sneha"/>
    <x v="0"/>
    <x v="4"/>
    <x v="18"/>
    <n v="2"/>
    <n v="700"/>
    <n v="10"/>
    <x v="1"/>
    <x v="1"/>
    <n v="1260"/>
    <s v="January"/>
    <n v="1"/>
    <x v="0"/>
  </r>
  <r>
    <s v="ORD1088"/>
    <d v="2026-05-28T00:00:00"/>
    <s v="Prakash"/>
    <x v="0"/>
    <x v="4"/>
    <x v="19"/>
    <n v="2"/>
    <n v="650"/>
    <n v="5"/>
    <x v="2"/>
    <x v="1"/>
    <n v="1235"/>
    <s v="May"/>
    <n v="5"/>
    <x v="3"/>
  </r>
  <r>
    <s v="ORD1176"/>
    <d v="2026-06-02T00:00:00"/>
    <s v="Suresh"/>
    <x v="2"/>
    <x v="3"/>
    <x v="21"/>
    <n v="2"/>
    <n v="650"/>
    <n v="5"/>
    <x v="1"/>
    <x v="2"/>
    <n v="1235"/>
    <s v="June"/>
    <n v="6"/>
    <x v="5"/>
  </r>
  <r>
    <s v="ORD1222"/>
    <d v="2026-01-28T00:00:00"/>
    <s v="Pooja"/>
    <x v="2"/>
    <x v="3"/>
    <x v="24"/>
    <n v="3"/>
    <n v="450"/>
    <n v="10"/>
    <x v="3"/>
    <x v="0"/>
    <n v="1215"/>
    <s v="January"/>
    <n v="1"/>
    <x v="0"/>
  </r>
  <r>
    <s v="ORD1337"/>
    <d v="2026-01-12T00:00:00"/>
    <s v="Meena"/>
    <x v="3"/>
    <x v="1"/>
    <x v="11"/>
    <n v="1"/>
    <n v="1200"/>
    <n v="0"/>
    <x v="1"/>
    <x v="2"/>
    <n v="1200"/>
    <s v="January"/>
    <n v="1"/>
    <x v="0"/>
  </r>
  <r>
    <s v="ORD1209"/>
    <d v="2026-03-30T00:00:00"/>
    <s v="Karthik"/>
    <x v="2"/>
    <x v="4"/>
    <x v="18"/>
    <n v="2"/>
    <n v="700"/>
    <n v="15"/>
    <x v="0"/>
    <x v="1"/>
    <n v="1190"/>
    <s v="March"/>
    <n v="3"/>
    <x v="1"/>
  </r>
  <r>
    <s v="ORD1425"/>
    <d v="2026-02-26T00:00:00"/>
    <s v="Prakash"/>
    <x v="2"/>
    <x v="3"/>
    <x v="21"/>
    <n v="2"/>
    <n v="650"/>
    <n v="10"/>
    <x v="3"/>
    <x v="1"/>
    <n v="1170"/>
    <s v="February"/>
    <n v="2"/>
    <x v="4"/>
  </r>
  <r>
    <s v="ORD1434"/>
    <d v="2026-03-17T00:00:00"/>
    <s v="Meena"/>
    <x v="3"/>
    <x v="3"/>
    <x v="21"/>
    <n v="2"/>
    <n v="650"/>
    <n v="10"/>
    <x v="1"/>
    <x v="0"/>
    <n v="1170"/>
    <s v="March"/>
    <n v="3"/>
    <x v="1"/>
  </r>
  <r>
    <s v="ORD1275"/>
    <d v="2026-05-01T00:00:00"/>
    <s v="Dinesh"/>
    <x v="1"/>
    <x v="4"/>
    <x v="19"/>
    <n v="2"/>
    <n v="650"/>
    <n v="10"/>
    <x v="2"/>
    <x v="2"/>
    <n v="1170"/>
    <s v="May"/>
    <n v="5"/>
    <x v="3"/>
  </r>
  <r>
    <s v="ORD1323"/>
    <d v="2026-05-06T00:00:00"/>
    <s v="Keerthana"/>
    <x v="2"/>
    <x v="3"/>
    <x v="21"/>
    <n v="2"/>
    <n v="650"/>
    <n v="10"/>
    <x v="3"/>
    <x v="1"/>
    <n v="1170"/>
    <s v="May"/>
    <n v="5"/>
    <x v="3"/>
  </r>
  <r>
    <s v="ORD1019"/>
    <d v="2026-02-12T00:00:00"/>
    <s v="Sanjay"/>
    <x v="3"/>
    <x v="4"/>
    <x v="18"/>
    <n v="2"/>
    <n v="700"/>
    <n v="20"/>
    <x v="4"/>
    <x v="0"/>
    <n v="1120"/>
    <s v="February"/>
    <n v="2"/>
    <x v="4"/>
  </r>
  <r>
    <s v="ORD1097"/>
    <d v="2026-03-06T00:00:00"/>
    <s v="Arun"/>
    <x v="0"/>
    <x v="1"/>
    <x v="16"/>
    <n v="2"/>
    <n v="700"/>
    <n v="20"/>
    <x v="0"/>
    <x v="0"/>
    <n v="1120"/>
    <s v="March"/>
    <n v="3"/>
    <x v="1"/>
  </r>
  <r>
    <s v="ORD1173"/>
    <d v="2026-04-07T00:00:00"/>
    <s v="Prakash"/>
    <x v="1"/>
    <x v="1"/>
    <x v="16"/>
    <n v="2"/>
    <n v="700"/>
    <n v="20"/>
    <x v="0"/>
    <x v="2"/>
    <n v="1120"/>
    <s v="April"/>
    <n v="4"/>
    <x v="2"/>
  </r>
  <r>
    <s v="ORD1246"/>
    <d v="2026-06-22T00:00:00"/>
    <s v="Dinesh"/>
    <x v="4"/>
    <x v="1"/>
    <x v="16"/>
    <n v="2"/>
    <n v="700"/>
    <n v="20"/>
    <x v="3"/>
    <x v="2"/>
    <n v="1120"/>
    <s v="June"/>
    <n v="6"/>
    <x v="5"/>
  </r>
  <r>
    <s v="ORD1344"/>
    <d v="2026-04-23T00:00:00"/>
    <s v="Nisha"/>
    <x v="2"/>
    <x v="3"/>
    <x v="21"/>
    <n v="2"/>
    <n v="650"/>
    <n v="15"/>
    <x v="3"/>
    <x v="3"/>
    <n v="1105"/>
    <s v="April"/>
    <n v="4"/>
    <x v="2"/>
  </r>
  <r>
    <s v="ORD1117"/>
    <d v="2026-05-08T00:00:00"/>
    <s v="Ishita"/>
    <x v="2"/>
    <x v="3"/>
    <x v="21"/>
    <n v="2"/>
    <n v="650"/>
    <n v="15"/>
    <x v="2"/>
    <x v="2"/>
    <n v="1105"/>
    <s v="May"/>
    <n v="5"/>
    <x v="3"/>
  </r>
  <r>
    <s v="ORD1340"/>
    <d v="2026-06-30T00:00:00"/>
    <s v="Meena"/>
    <x v="0"/>
    <x v="4"/>
    <x v="19"/>
    <n v="2"/>
    <n v="650"/>
    <n v="15"/>
    <x v="0"/>
    <x v="3"/>
    <n v="1105"/>
    <s v="June"/>
    <n v="6"/>
    <x v="5"/>
  </r>
  <r>
    <s v="ORD1194"/>
    <d v="2026-06-17T00:00:00"/>
    <s v="Rohit"/>
    <x v="1"/>
    <x v="1"/>
    <x v="11"/>
    <n v="1"/>
    <n v="1200"/>
    <n v="10"/>
    <x v="3"/>
    <x v="2"/>
    <n v="1080"/>
    <s v="June"/>
    <n v="6"/>
    <x v="5"/>
  </r>
  <r>
    <s v="ORD1247"/>
    <d v="2026-01-23T00:00:00"/>
    <s v="Suresh"/>
    <x v="0"/>
    <x v="3"/>
    <x v="22"/>
    <n v="2"/>
    <n v="550"/>
    <n v="5"/>
    <x v="3"/>
    <x v="0"/>
    <n v="1045"/>
    <s v="January"/>
    <n v="1"/>
    <x v="0"/>
  </r>
  <r>
    <s v="ORD1174"/>
    <d v="2026-01-05T00:00:00"/>
    <s v="Nisha"/>
    <x v="1"/>
    <x v="3"/>
    <x v="22"/>
    <n v="2"/>
    <n v="550"/>
    <n v="5"/>
    <x v="2"/>
    <x v="2"/>
    <n v="1045"/>
    <s v="January"/>
    <n v="1"/>
    <x v="0"/>
  </r>
  <r>
    <s v="ORD1477"/>
    <d v="2026-05-22T00:00:00"/>
    <s v="Prakash"/>
    <x v="2"/>
    <x v="3"/>
    <x v="22"/>
    <n v="2"/>
    <n v="550"/>
    <n v="5"/>
    <x v="2"/>
    <x v="0"/>
    <n v="1045"/>
    <s v="May"/>
    <n v="5"/>
    <x v="3"/>
  </r>
  <r>
    <s v="ORD1364"/>
    <d v="2026-04-29T00:00:00"/>
    <s v="Nisha"/>
    <x v="3"/>
    <x v="3"/>
    <x v="21"/>
    <n v="2"/>
    <n v="650"/>
    <n v="20"/>
    <x v="1"/>
    <x v="3"/>
    <n v="1040"/>
    <s v="April"/>
    <n v="4"/>
    <x v="2"/>
  </r>
  <r>
    <s v="ORD1285"/>
    <d v="2026-06-17T00:00:00"/>
    <s v="Deepa"/>
    <x v="0"/>
    <x v="1"/>
    <x v="11"/>
    <n v="1"/>
    <n v="1200"/>
    <n v="15"/>
    <x v="3"/>
    <x v="2"/>
    <n v="1020"/>
    <s v="June"/>
    <n v="6"/>
    <x v="5"/>
  </r>
  <r>
    <s v="ORD1286"/>
    <d v="2026-01-15T00:00:00"/>
    <s v="Prakash"/>
    <x v="0"/>
    <x v="3"/>
    <x v="23"/>
    <n v="2"/>
    <n v="500"/>
    <n v="0"/>
    <x v="3"/>
    <x v="2"/>
    <n v="1000"/>
    <s v="January"/>
    <n v="1"/>
    <x v="0"/>
  </r>
  <r>
    <s v="ORD1265"/>
    <d v="2026-05-28T00:00:00"/>
    <s v="Sneha"/>
    <x v="1"/>
    <x v="3"/>
    <x v="22"/>
    <n v="2"/>
    <n v="550"/>
    <n v="10"/>
    <x v="1"/>
    <x v="3"/>
    <n v="990"/>
    <s v="May"/>
    <n v="5"/>
    <x v="3"/>
  </r>
  <r>
    <s v="ORD1270"/>
    <d v="2026-04-26T00:00:00"/>
    <s v="Deepa"/>
    <x v="1"/>
    <x v="1"/>
    <x v="11"/>
    <n v="1"/>
    <n v="1200"/>
    <n v="20"/>
    <x v="1"/>
    <x v="1"/>
    <n v="960"/>
    <s v="April"/>
    <n v="4"/>
    <x v="2"/>
  </r>
  <r>
    <s v="ORD1420"/>
    <d v="2026-02-04T00:00:00"/>
    <s v="Dinesh"/>
    <x v="0"/>
    <x v="3"/>
    <x v="23"/>
    <n v="2"/>
    <n v="500"/>
    <n v="5"/>
    <x v="1"/>
    <x v="1"/>
    <n v="950"/>
    <s v="February"/>
    <n v="2"/>
    <x v="4"/>
  </r>
  <r>
    <s v="ORD1116"/>
    <d v="2026-05-25T00:00:00"/>
    <s v="Lavanya"/>
    <x v="2"/>
    <x v="3"/>
    <x v="23"/>
    <n v="2"/>
    <n v="500"/>
    <n v="5"/>
    <x v="0"/>
    <x v="2"/>
    <n v="950"/>
    <s v="May"/>
    <n v="5"/>
    <x v="3"/>
  </r>
  <r>
    <s v="ORD1214"/>
    <d v="2026-06-14T00:00:00"/>
    <s v="Keerthana"/>
    <x v="3"/>
    <x v="3"/>
    <x v="22"/>
    <n v="2"/>
    <n v="550"/>
    <n v="15"/>
    <x v="2"/>
    <x v="2"/>
    <n v="935"/>
    <s v="June"/>
    <n v="6"/>
    <x v="5"/>
  </r>
  <r>
    <s v="ORD1359"/>
    <d v="2026-01-12T00:00:00"/>
    <s v="Deepa"/>
    <x v="0"/>
    <x v="3"/>
    <x v="24"/>
    <n v="2"/>
    <n v="450"/>
    <n v="0"/>
    <x v="3"/>
    <x v="0"/>
    <n v="900"/>
    <s v="January"/>
    <n v="1"/>
    <x v="0"/>
  </r>
  <r>
    <s v="ORD1353"/>
    <d v="2026-03-21T00:00:00"/>
    <s v="Gokul"/>
    <x v="3"/>
    <x v="3"/>
    <x v="24"/>
    <n v="2"/>
    <n v="450"/>
    <n v="0"/>
    <x v="1"/>
    <x v="1"/>
    <n v="900"/>
    <s v="March"/>
    <n v="3"/>
    <x v="1"/>
  </r>
  <r>
    <s v="ORD1208"/>
    <d v="2026-04-15T00:00:00"/>
    <s v="Surya"/>
    <x v="0"/>
    <x v="3"/>
    <x v="23"/>
    <n v="2"/>
    <n v="500"/>
    <n v="10"/>
    <x v="0"/>
    <x v="2"/>
    <n v="900"/>
    <s v="April"/>
    <n v="4"/>
    <x v="2"/>
  </r>
  <r>
    <s v="ORD1263"/>
    <d v="2026-04-25T00:00:00"/>
    <s v="Sneha"/>
    <x v="0"/>
    <x v="3"/>
    <x v="24"/>
    <n v="2"/>
    <n v="450"/>
    <n v="0"/>
    <x v="3"/>
    <x v="2"/>
    <n v="900"/>
    <s v="April"/>
    <n v="4"/>
    <x v="2"/>
  </r>
  <r>
    <s v="ORD1133"/>
    <d v="2026-02-18T00:00:00"/>
    <s v="Meena"/>
    <x v="3"/>
    <x v="4"/>
    <x v="13"/>
    <n v="1"/>
    <n v="900"/>
    <n v="5"/>
    <x v="0"/>
    <x v="1"/>
    <n v="855"/>
    <s v="February"/>
    <n v="2"/>
    <x v="4"/>
  </r>
  <r>
    <s v="ORD1372"/>
    <d v="2026-04-29T00:00:00"/>
    <s v="Sanjay"/>
    <x v="0"/>
    <x v="4"/>
    <x v="13"/>
    <n v="1"/>
    <n v="900"/>
    <n v="5"/>
    <x v="2"/>
    <x v="1"/>
    <n v="855"/>
    <s v="April"/>
    <n v="4"/>
    <x v="2"/>
  </r>
  <r>
    <s v="ORD1020"/>
    <d v="2026-04-23T00:00:00"/>
    <s v="Mohan"/>
    <x v="3"/>
    <x v="4"/>
    <x v="13"/>
    <n v="1"/>
    <n v="900"/>
    <n v="5"/>
    <x v="1"/>
    <x v="1"/>
    <n v="855"/>
    <s v="April"/>
    <n v="4"/>
    <x v="2"/>
  </r>
  <r>
    <s v="ORD1442"/>
    <d v="2026-05-16T00:00:00"/>
    <s v="Vijay"/>
    <x v="0"/>
    <x v="0"/>
    <x v="12"/>
    <n v="1"/>
    <n v="900"/>
    <n v="5"/>
    <x v="1"/>
    <x v="0"/>
    <n v="855"/>
    <s v="May"/>
    <n v="5"/>
    <x v="3"/>
  </r>
  <r>
    <s v="ORD1271"/>
    <d v="2026-06-22T00:00:00"/>
    <s v="Sneha"/>
    <x v="0"/>
    <x v="1"/>
    <x v="15"/>
    <n v="1"/>
    <n v="900"/>
    <n v="5"/>
    <x v="1"/>
    <x v="2"/>
    <n v="855"/>
    <s v="June"/>
    <n v="6"/>
    <x v="5"/>
  </r>
  <r>
    <s v="ORD1243"/>
    <d v="2026-02-17T00:00:00"/>
    <s v="Ishita"/>
    <x v="1"/>
    <x v="4"/>
    <x v="14"/>
    <n v="1"/>
    <n v="850"/>
    <n v="0"/>
    <x v="2"/>
    <x v="1"/>
    <n v="850"/>
    <s v="February"/>
    <n v="2"/>
    <x v="4"/>
  </r>
  <r>
    <s v="ORD1441"/>
    <d v="2026-04-20T00:00:00"/>
    <s v="Swetha"/>
    <x v="3"/>
    <x v="4"/>
    <x v="14"/>
    <n v="1"/>
    <n v="850"/>
    <n v="0"/>
    <x v="1"/>
    <x v="0"/>
    <n v="850"/>
    <s v="April"/>
    <n v="4"/>
    <x v="2"/>
  </r>
  <r>
    <s v="ORD1129"/>
    <d v="2026-01-30T00:00:00"/>
    <s v="Karthik"/>
    <x v="0"/>
    <x v="1"/>
    <x v="15"/>
    <n v="1"/>
    <n v="900"/>
    <n v="10"/>
    <x v="3"/>
    <x v="1"/>
    <n v="810"/>
    <s v="January"/>
    <n v="1"/>
    <x v="0"/>
  </r>
  <r>
    <s v="ORD1314"/>
    <d v="2026-01-12T00:00:00"/>
    <s v="Kavya"/>
    <x v="0"/>
    <x v="0"/>
    <x v="12"/>
    <n v="1"/>
    <n v="900"/>
    <n v="10"/>
    <x v="0"/>
    <x v="3"/>
    <n v="810"/>
    <s v="January"/>
    <n v="1"/>
    <x v="0"/>
  </r>
  <r>
    <s v="ORD1469"/>
    <d v="2026-01-30T00:00:00"/>
    <s v="Meena"/>
    <x v="2"/>
    <x v="1"/>
    <x v="15"/>
    <n v="1"/>
    <n v="900"/>
    <n v="10"/>
    <x v="2"/>
    <x v="0"/>
    <n v="810"/>
    <s v="January"/>
    <n v="1"/>
    <x v="0"/>
  </r>
  <r>
    <s v="ORD1183"/>
    <d v="2026-02-27T00:00:00"/>
    <s v="Arun"/>
    <x v="1"/>
    <x v="0"/>
    <x v="12"/>
    <n v="1"/>
    <n v="900"/>
    <n v="10"/>
    <x v="1"/>
    <x v="3"/>
    <n v="810"/>
    <s v="February"/>
    <n v="2"/>
    <x v="4"/>
  </r>
  <r>
    <s v="ORD1042"/>
    <d v="2026-02-23T00:00:00"/>
    <s v="Lavanya"/>
    <x v="2"/>
    <x v="0"/>
    <x v="12"/>
    <n v="1"/>
    <n v="900"/>
    <n v="10"/>
    <x v="3"/>
    <x v="3"/>
    <n v="810"/>
    <s v="February"/>
    <n v="2"/>
    <x v="4"/>
  </r>
  <r>
    <s v="ORD1107"/>
    <d v="2026-03-29T00:00:00"/>
    <s v="Ishita"/>
    <x v="1"/>
    <x v="1"/>
    <x v="15"/>
    <n v="1"/>
    <n v="900"/>
    <n v="10"/>
    <x v="2"/>
    <x v="2"/>
    <n v="810"/>
    <s v="March"/>
    <n v="3"/>
    <x v="1"/>
  </r>
  <r>
    <s v="ORD1300"/>
    <d v="2026-04-18T00:00:00"/>
    <s v="Keerthana"/>
    <x v="3"/>
    <x v="4"/>
    <x v="13"/>
    <n v="1"/>
    <n v="900"/>
    <n v="10"/>
    <x v="2"/>
    <x v="3"/>
    <n v="810"/>
    <s v="April"/>
    <n v="4"/>
    <x v="2"/>
  </r>
  <r>
    <s v="ORD1015"/>
    <d v="2026-04-22T00:00:00"/>
    <s v="Divya"/>
    <x v="3"/>
    <x v="0"/>
    <x v="12"/>
    <n v="1"/>
    <n v="900"/>
    <n v="10"/>
    <x v="1"/>
    <x v="1"/>
    <n v="810"/>
    <s v="April"/>
    <n v="4"/>
    <x v="2"/>
  </r>
  <r>
    <s v="ORD1028"/>
    <d v="2026-02-24T00:00:00"/>
    <s v="Deepa"/>
    <x v="3"/>
    <x v="4"/>
    <x v="14"/>
    <n v="1"/>
    <n v="850"/>
    <n v="5"/>
    <x v="3"/>
    <x v="1"/>
    <n v="807.5"/>
    <s v="February"/>
    <n v="2"/>
    <x v="4"/>
  </r>
  <r>
    <s v="ORD1458"/>
    <d v="2026-04-18T00:00:00"/>
    <s v="Prakash"/>
    <x v="2"/>
    <x v="4"/>
    <x v="14"/>
    <n v="1"/>
    <n v="850"/>
    <n v="5"/>
    <x v="0"/>
    <x v="3"/>
    <n v="807.5"/>
    <s v="April"/>
    <n v="4"/>
    <x v="2"/>
  </r>
  <r>
    <s v="ORD1125"/>
    <d v="2026-03-17T00:00:00"/>
    <s v="Aishwarya"/>
    <x v="1"/>
    <x v="1"/>
    <x v="15"/>
    <n v="1"/>
    <n v="900"/>
    <n v="15"/>
    <x v="0"/>
    <x v="3"/>
    <n v="765"/>
    <s v="March"/>
    <n v="3"/>
    <x v="1"/>
  </r>
  <r>
    <s v="ORD1132"/>
    <d v="2026-03-02T00:00:00"/>
    <s v="Deepa"/>
    <x v="1"/>
    <x v="4"/>
    <x v="14"/>
    <n v="1"/>
    <n v="850"/>
    <n v="10"/>
    <x v="2"/>
    <x v="1"/>
    <n v="765"/>
    <s v="March"/>
    <n v="3"/>
    <x v="1"/>
  </r>
  <r>
    <s v="ORD1034"/>
    <d v="2026-03-22T00:00:00"/>
    <s v="Ishita"/>
    <x v="0"/>
    <x v="1"/>
    <x v="15"/>
    <n v="1"/>
    <n v="900"/>
    <n v="15"/>
    <x v="0"/>
    <x v="1"/>
    <n v="765"/>
    <s v="March"/>
    <n v="3"/>
    <x v="1"/>
  </r>
  <r>
    <s v="ORD1257"/>
    <d v="2026-06-29T00:00:00"/>
    <s v="Rahul"/>
    <x v="0"/>
    <x v="4"/>
    <x v="13"/>
    <n v="1"/>
    <n v="900"/>
    <n v="15"/>
    <x v="0"/>
    <x v="0"/>
    <n v="765"/>
    <s v="June"/>
    <n v="6"/>
    <x v="5"/>
  </r>
  <r>
    <s v="ORD1054"/>
    <d v="2026-03-14T00:00:00"/>
    <s v="Manoj"/>
    <x v="1"/>
    <x v="2"/>
    <x v="20"/>
    <n v="1"/>
    <n v="800"/>
    <n v="5"/>
    <x v="2"/>
    <x v="3"/>
    <n v="760"/>
    <s v="March"/>
    <n v="3"/>
    <x v="1"/>
  </r>
  <r>
    <s v="ORD1397"/>
    <d v="2026-03-31T00:00:00"/>
    <s v="Harini"/>
    <x v="3"/>
    <x v="4"/>
    <x v="14"/>
    <n v="1"/>
    <n v="850"/>
    <n v="15"/>
    <x v="1"/>
    <x v="3"/>
    <n v="722.5"/>
    <s v="March"/>
    <n v="3"/>
    <x v="1"/>
  </r>
  <r>
    <s v="ORD1446"/>
    <d v="2026-05-31T00:00:00"/>
    <s v="Manoj"/>
    <x v="2"/>
    <x v="2"/>
    <x v="20"/>
    <n v="1"/>
    <n v="800"/>
    <n v="10"/>
    <x v="0"/>
    <x v="2"/>
    <n v="720"/>
    <s v="May"/>
    <n v="5"/>
    <x v="3"/>
  </r>
  <r>
    <s v="ORD1463"/>
    <d v="2026-05-23T00:00:00"/>
    <s v="Mohan"/>
    <x v="0"/>
    <x v="4"/>
    <x v="17"/>
    <n v="1"/>
    <n v="750"/>
    <n v="5"/>
    <x v="3"/>
    <x v="2"/>
    <n v="712.5"/>
    <s v="May"/>
    <n v="5"/>
    <x v="3"/>
  </r>
  <r>
    <s v="ORD1387"/>
    <d v="2026-03-21T00:00:00"/>
    <s v="Divya"/>
    <x v="3"/>
    <x v="4"/>
    <x v="18"/>
    <n v="1"/>
    <n v="700"/>
    <n v="0"/>
    <x v="0"/>
    <x v="3"/>
    <n v="700"/>
    <s v="March"/>
    <n v="3"/>
    <x v="1"/>
  </r>
  <r>
    <s v="ORD1040"/>
    <d v="2026-06-30T00:00:00"/>
    <s v="Pooja"/>
    <x v="0"/>
    <x v="4"/>
    <x v="18"/>
    <n v="1"/>
    <n v="700"/>
    <n v="0"/>
    <x v="1"/>
    <x v="1"/>
    <n v="700"/>
    <s v="June"/>
    <n v="6"/>
    <x v="5"/>
  </r>
  <r>
    <s v="ORD1447"/>
    <d v="2026-06-09T00:00:00"/>
    <s v="Priya"/>
    <x v="0"/>
    <x v="1"/>
    <x v="16"/>
    <n v="1"/>
    <n v="700"/>
    <n v="0"/>
    <x v="0"/>
    <x v="1"/>
    <n v="700"/>
    <s v="June"/>
    <n v="6"/>
    <x v="5"/>
  </r>
  <r>
    <s v="ORD1325"/>
    <d v="2026-04-24T00:00:00"/>
    <s v="Swetha"/>
    <x v="2"/>
    <x v="4"/>
    <x v="14"/>
    <n v="1"/>
    <n v="850"/>
    <n v="20"/>
    <x v="0"/>
    <x v="3"/>
    <n v="680"/>
    <s v="April"/>
    <n v="4"/>
    <x v="2"/>
  </r>
  <r>
    <s v="ORD1104"/>
    <d v="2026-01-04T00:00:00"/>
    <s v="Harini"/>
    <x v="3"/>
    <x v="1"/>
    <x v="16"/>
    <n v="1"/>
    <n v="700"/>
    <n v="5"/>
    <x v="0"/>
    <x v="2"/>
    <n v="665"/>
    <s v="January"/>
    <n v="1"/>
    <x v="0"/>
  </r>
  <r>
    <s v="ORD1027"/>
    <d v="2026-01-26T00:00:00"/>
    <s v="Priya"/>
    <x v="0"/>
    <x v="4"/>
    <x v="18"/>
    <n v="1"/>
    <n v="700"/>
    <n v="5"/>
    <x v="1"/>
    <x v="2"/>
    <n v="665"/>
    <s v="January"/>
    <n v="1"/>
    <x v="0"/>
  </r>
  <r>
    <s v="ORD1301"/>
    <d v="2026-06-07T00:00:00"/>
    <s v="Vijay"/>
    <x v="3"/>
    <x v="4"/>
    <x v="18"/>
    <n v="1"/>
    <n v="700"/>
    <n v="5"/>
    <x v="2"/>
    <x v="1"/>
    <n v="665"/>
    <s v="June"/>
    <n v="6"/>
    <x v="5"/>
  </r>
  <r>
    <s v="ORD1103"/>
    <d v="2026-03-15T00:00:00"/>
    <s v="Aditya"/>
    <x v="3"/>
    <x v="3"/>
    <x v="21"/>
    <n v="1"/>
    <n v="650"/>
    <n v="0"/>
    <x v="1"/>
    <x v="3"/>
    <n v="650"/>
    <s v="March"/>
    <n v="3"/>
    <x v="1"/>
  </r>
  <r>
    <s v="ORD1341"/>
    <d v="2026-05-13T00:00:00"/>
    <s v="Lavanya"/>
    <x v="3"/>
    <x v="3"/>
    <x v="21"/>
    <n v="1"/>
    <n v="650"/>
    <n v="0"/>
    <x v="2"/>
    <x v="1"/>
    <n v="650"/>
    <s v="May"/>
    <n v="5"/>
    <x v="3"/>
  </r>
  <r>
    <s v="ORD1306"/>
    <d v="2026-04-23T00:00:00"/>
    <s v="Kavya"/>
    <x v="1"/>
    <x v="4"/>
    <x v="17"/>
    <n v="1"/>
    <n v="750"/>
    <n v="15"/>
    <x v="3"/>
    <x v="3"/>
    <n v="637.5"/>
    <s v="April"/>
    <n v="4"/>
    <x v="2"/>
  </r>
  <r>
    <s v="ORD1375"/>
    <d v="2026-02-05T00:00:00"/>
    <s v="Meena"/>
    <x v="0"/>
    <x v="4"/>
    <x v="19"/>
    <n v="1"/>
    <n v="650"/>
    <n v="5"/>
    <x v="1"/>
    <x v="3"/>
    <n v="617.5"/>
    <s v="February"/>
    <n v="2"/>
    <x v="4"/>
  </r>
  <r>
    <s v="ORD1472"/>
    <d v="2026-03-28T00:00:00"/>
    <s v="Meena"/>
    <x v="3"/>
    <x v="4"/>
    <x v="17"/>
    <n v="1"/>
    <n v="750"/>
    <n v="20"/>
    <x v="0"/>
    <x v="2"/>
    <n v="600"/>
    <s v="March"/>
    <n v="3"/>
    <x v="1"/>
  </r>
  <r>
    <s v="ORD1388"/>
    <d v="2026-01-06T00:00:00"/>
    <s v="Manoj"/>
    <x v="3"/>
    <x v="3"/>
    <x v="21"/>
    <n v="1"/>
    <n v="650"/>
    <n v="10"/>
    <x v="1"/>
    <x v="3"/>
    <n v="585"/>
    <s v="January"/>
    <n v="1"/>
    <x v="0"/>
  </r>
  <r>
    <s v="ORD1260"/>
    <d v="2026-02-27T00:00:00"/>
    <s v="Surya"/>
    <x v="0"/>
    <x v="3"/>
    <x v="21"/>
    <n v="1"/>
    <n v="650"/>
    <n v="10"/>
    <x v="3"/>
    <x v="2"/>
    <n v="585"/>
    <s v="February"/>
    <n v="2"/>
    <x v="4"/>
  </r>
  <r>
    <s v="ORD1158"/>
    <d v="2026-04-22T00:00:00"/>
    <s v="Arun"/>
    <x v="3"/>
    <x v="4"/>
    <x v="19"/>
    <n v="1"/>
    <n v="650"/>
    <n v="10"/>
    <x v="3"/>
    <x v="2"/>
    <n v="585"/>
    <s v="April"/>
    <n v="4"/>
    <x v="2"/>
  </r>
  <r>
    <s v="ORD1207"/>
    <d v="2026-06-06T00:00:00"/>
    <s v="Mohan"/>
    <x v="0"/>
    <x v="3"/>
    <x v="21"/>
    <n v="1"/>
    <n v="650"/>
    <n v="10"/>
    <x v="3"/>
    <x v="2"/>
    <n v="585"/>
    <s v="June"/>
    <n v="6"/>
    <x v="5"/>
  </r>
  <r>
    <s v="ORD1074"/>
    <d v="2026-04-20T00:00:00"/>
    <s v="Lavanya"/>
    <x v="1"/>
    <x v="1"/>
    <x v="16"/>
    <n v="1"/>
    <n v="700"/>
    <n v="20"/>
    <x v="2"/>
    <x v="1"/>
    <n v="560"/>
    <s v="April"/>
    <n v="4"/>
    <x v="2"/>
  </r>
  <r>
    <s v="ORD1473"/>
    <d v="2026-05-10T00:00:00"/>
    <s v="Karthik"/>
    <x v="3"/>
    <x v="4"/>
    <x v="18"/>
    <n v="1"/>
    <n v="700"/>
    <n v="20"/>
    <x v="0"/>
    <x v="2"/>
    <n v="560"/>
    <s v="May"/>
    <n v="5"/>
    <x v="3"/>
  </r>
  <r>
    <s v="ORD1137"/>
    <d v="2026-01-05T00:00:00"/>
    <s v="Divya"/>
    <x v="1"/>
    <x v="3"/>
    <x v="22"/>
    <n v="1"/>
    <n v="550"/>
    <n v="5"/>
    <x v="3"/>
    <x v="1"/>
    <n v="522.5"/>
    <s v="January"/>
    <n v="1"/>
    <x v="0"/>
  </r>
  <r>
    <s v="ORD1384"/>
    <d v="2026-05-30T00:00:00"/>
    <s v="Ananya"/>
    <x v="2"/>
    <x v="3"/>
    <x v="22"/>
    <n v="1"/>
    <n v="550"/>
    <n v="5"/>
    <x v="1"/>
    <x v="0"/>
    <n v="522.5"/>
    <s v="May"/>
    <n v="5"/>
    <x v="3"/>
  </r>
  <r>
    <s v="ORD1461"/>
    <d v="2026-01-17T00:00:00"/>
    <s v="Sanjay"/>
    <x v="1"/>
    <x v="4"/>
    <x v="19"/>
    <n v="1"/>
    <n v="650"/>
    <n v="20"/>
    <x v="1"/>
    <x v="0"/>
    <n v="520"/>
    <s v="January"/>
    <n v="1"/>
    <x v="0"/>
  </r>
  <r>
    <s v="ORD1467"/>
    <d v="2026-05-23T00:00:00"/>
    <s v="Harini"/>
    <x v="0"/>
    <x v="4"/>
    <x v="19"/>
    <n v="1"/>
    <n v="650"/>
    <n v="20"/>
    <x v="2"/>
    <x v="3"/>
    <n v="520"/>
    <s v="May"/>
    <n v="5"/>
    <x v="3"/>
  </r>
  <r>
    <s v="ORD1294"/>
    <d v="2026-03-05T00:00:00"/>
    <s v="Gokul"/>
    <x v="0"/>
    <x v="3"/>
    <x v="22"/>
    <n v="1"/>
    <n v="550"/>
    <n v="10"/>
    <x v="1"/>
    <x v="2"/>
    <n v="495"/>
    <s v="March"/>
    <n v="3"/>
    <x v="1"/>
  </r>
  <r>
    <s v="ORD1003"/>
    <d v="2026-02-26T00:00:00"/>
    <s v="Aditya"/>
    <x v="1"/>
    <x v="3"/>
    <x v="23"/>
    <n v="1"/>
    <n v="500"/>
    <n v="5"/>
    <x v="3"/>
    <x v="0"/>
    <n v="475"/>
    <s v="February"/>
    <n v="2"/>
    <x v="4"/>
  </r>
  <r>
    <s v="ORD1422"/>
    <d v="2026-06-12T00:00:00"/>
    <s v="Ishita"/>
    <x v="0"/>
    <x v="3"/>
    <x v="23"/>
    <n v="1"/>
    <n v="500"/>
    <n v="5"/>
    <x v="2"/>
    <x v="2"/>
    <n v="475"/>
    <s v="June"/>
    <n v="6"/>
    <x v="5"/>
  </r>
  <r>
    <s v="ORD1465"/>
    <d v="2026-04-14T00:00:00"/>
    <s v="Surya"/>
    <x v="2"/>
    <x v="3"/>
    <x v="23"/>
    <n v="1"/>
    <n v="500"/>
    <n v="15"/>
    <x v="3"/>
    <x v="2"/>
    <n v="425"/>
    <s v="April"/>
    <n v="4"/>
    <x v="2"/>
  </r>
  <r>
    <s v="ORD1431"/>
    <d v="2026-06-19T00:00:00"/>
    <s v="Rohit"/>
    <x v="2"/>
    <x v="3"/>
    <x v="23"/>
    <n v="1"/>
    <n v="500"/>
    <n v="15"/>
    <x v="2"/>
    <x v="0"/>
    <n v="425"/>
    <s v="June"/>
    <n v="6"/>
    <x v="5"/>
  </r>
  <r>
    <s v="ORD1407"/>
    <d v="2026-02-08T00:00:00"/>
    <s v="Dinesh"/>
    <x v="0"/>
    <x v="3"/>
    <x v="24"/>
    <n v="1"/>
    <n v="450"/>
    <n v="10"/>
    <x v="3"/>
    <x v="3"/>
    <n v="405"/>
    <s v="February"/>
    <n v="2"/>
    <x v="4"/>
  </r>
  <r>
    <s v="ORD1230"/>
    <d v="2026-03-09T00:00:00"/>
    <s v="Prakash"/>
    <x v="2"/>
    <x v="3"/>
    <x v="23"/>
    <n v="1"/>
    <n v="500"/>
    <n v="20"/>
    <x v="3"/>
    <x v="3"/>
    <n v="400"/>
    <s v="March"/>
    <n v="3"/>
    <x v="1"/>
  </r>
  <r>
    <s v="ORD1014"/>
    <d v="2026-05-16T00:00:00"/>
    <s v="Sanjay"/>
    <x v="0"/>
    <x v="3"/>
    <x v="23"/>
    <n v="1"/>
    <n v="500"/>
    <n v="20"/>
    <x v="2"/>
    <x v="0"/>
    <n v="400"/>
    <s v="May"/>
    <n v="5"/>
    <x v="3"/>
  </r>
  <r>
    <s v="ORD1018"/>
    <d v="2026-01-22T00:00:00"/>
    <s v="Aishwarya"/>
    <x v="3"/>
    <x v="3"/>
    <x v="24"/>
    <n v="1"/>
    <n v="450"/>
    <n v="20"/>
    <x v="1"/>
    <x v="3"/>
    <n v="360"/>
    <s v="January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783D9-6858-4CC9-8B31-B94512D96B66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E11:F17" firstHeaderRow="1" firstDataRow="1" firstDataCol="1"/>
  <pivotFields count="17">
    <pivotField showAll="0"/>
    <pivotField numFmtId="14" showAll="0"/>
    <pivotField showAll="0"/>
    <pivotField showAll="0"/>
    <pivotField showAll="0"/>
    <pivotField axis="axisRow" showAll="0" measureFilter="1" sortType="descending">
      <items count="26">
        <item x="9"/>
        <item x="4"/>
        <item x="23"/>
        <item x="1"/>
        <item x="13"/>
        <item x="18"/>
        <item x="24"/>
        <item x="10"/>
        <item x="7"/>
        <item x="3"/>
        <item x="8"/>
        <item x="5"/>
        <item x="21"/>
        <item x="6"/>
        <item x="14"/>
        <item x="19"/>
        <item x="22"/>
        <item x="0"/>
        <item x="2"/>
        <item x="17"/>
        <item x="16"/>
        <item x="11"/>
        <item x="20"/>
        <item x="15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7">
        <item x="0"/>
        <item x="4"/>
        <item x="1"/>
        <item x="2"/>
        <item x="3"/>
        <item x="5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 v="3"/>
    </i>
    <i>
      <x v="1"/>
    </i>
    <i>
      <x v="17"/>
    </i>
    <i>
      <x v="18"/>
    </i>
    <i>
      <x v="11"/>
    </i>
    <i t="grand">
      <x/>
    </i>
  </rowItems>
  <colItems count="1">
    <i/>
  </colItems>
  <dataFields count="1">
    <dataField name="Sum of Sales Amount" fld="11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644D2-23E3-4474-8877-CAC2CF0789B6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Order Satus">
  <location ref="E3:F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numFmtId="14" showAll="0">
      <items count="7">
        <item x="0"/>
        <item x="4"/>
        <item x="1"/>
        <item x="2"/>
        <item x="3"/>
        <item x="5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0CB54-8EED-41CC-B803-34E01155C72A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ode">
  <location ref="C11:D16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h="1" x="4"/>
        <item x="0"/>
        <item t="default"/>
      </items>
    </pivotField>
    <pivotField showAll="0"/>
    <pivotField dataField="1" showAll="0"/>
    <pivotField showAll="0"/>
    <pivotField showAll="0"/>
    <pivotField numFmtId="14" showAll="0">
      <items count="7">
        <item x="0"/>
        <item x="4"/>
        <item x="1"/>
        <item x="2"/>
        <item x="3"/>
        <item x="5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Sales Amount" fld="1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19111-CAD0-42D4-8605-90A6686CE455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C3:D8" firstHeaderRow="1" firstDataRow="1" firstDataCol="1"/>
  <pivotFields count="17">
    <pivotField showAll="0"/>
    <pivotField numFmtId="14" showAll="0"/>
    <pivotField showAll="0"/>
    <pivotField axis="axisRow" showAll="0" sortType="descending">
      <items count="6">
        <item x="1"/>
        <item x="0"/>
        <item h="1"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7">
        <item x="0"/>
        <item x="4"/>
        <item x="1"/>
        <item x="2"/>
        <item x="3"/>
        <item x="5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Sales Amount" fld="11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89F3B-E904-43C9-BC82-C1334062B99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">
  <location ref="A11:B1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numFmtId="14" showAll="0">
      <items count="7">
        <item x="0"/>
        <item x="4"/>
        <item x="1"/>
        <item x="2"/>
        <item x="3"/>
        <item x="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6"/>
    <field x="14"/>
  </rowFields>
  <rowItems count="7">
    <i>
      <x v="4"/>
    </i>
    <i>
      <x v="3"/>
    </i>
    <i>
      <x v="1"/>
    </i>
    <i>
      <x v="5"/>
    </i>
    <i>
      <x v="6"/>
    </i>
    <i>
      <x v="2"/>
    </i>
    <i t="grand">
      <x/>
    </i>
  </rowItems>
  <colItems count="1">
    <i/>
  </colItems>
  <dataFields count="1">
    <dataField name="Sum of Sales Amount" fld="11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A05CC-00E3-49BB-AE1A-6C62D0B1A48A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Category">
  <location ref="A3:B9" firstHeaderRow="1" firstDataRow="1" firstDataCol="1"/>
  <pivotFields count="17">
    <pivotField showAll="0"/>
    <pivotField numFmtId="14" showAll="0"/>
    <pivotField showAll="0"/>
    <pivotField showAll="0"/>
    <pivotField axis="axisRow" showAll="0" sortType="descending">
      <items count="6">
        <item x="3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>
      <items count="7">
        <item x="0"/>
        <item x="4"/>
        <item x="1"/>
        <item x="2"/>
        <item x="3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 v="3"/>
    </i>
    <i>
      <x v="4"/>
    </i>
    <i>
      <x v="2"/>
    </i>
    <i>
      <x v="1"/>
    </i>
    <i>
      <x/>
    </i>
    <i t="grand">
      <x/>
    </i>
  </rowItems>
  <colItems count="1">
    <i/>
  </colItems>
  <dataFields count="1">
    <dataField name="Sum of Sales Amount" fld="11" baseField="0" baseItem="0"/>
  </dataField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284A29-D9D0-4A03-8B25-C0385CB8B557}" autoFormatId="16" applyNumberFormats="0" applyBorderFormats="0" applyFontFormats="0" applyPatternFormats="0" applyAlignmentFormats="0" applyWidthHeightFormats="0">
  <queryTableRefresh nextId="16">
    <queryTableFields count="15">
      <queryTableField id="1" name="Order ID" tableColumnId="1"/>
      <queryTableField id="2" name="Order Date" tableColumnId="2"/>
      <queryTableField id="3" name="Customer" tableColumnId="3"/>
      <queryTableField id="4" name="Region" tableColumnId="4"/>
      <queryTableField id="5" name="Category" tableColumnId="5"/>
      <queryTableField id="6" name="Product" tableColumnId="6"/>
      <queryTableField id="7" name="Quantity" tableColumnId="7"/>
      <queryTableField id="8" name="Unit Price" tableColumnId="8"/>
      <queryTableField id="9" name="Discount" tableColumnId="9"/>
      <queryTableField id="10" name="Payment Mode" tableColumnId="10"/>
      <queryTableField id="11" name="Order Status" tableColumnId="11"/>
      <queryTableField id="12" name="Sales Amount" tableColumnId="12"/>
      <queryTableField id="13" name="Month Name" tableColumnId="13"/>
      <queryTableField id="14" name="Month" tableColumnId="14"/>
      <queryTableField id="15" name="Start of Mon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9C9CDC-2002-4CA6-925A-32FAC50119A8}" name="Cleaned_E_commerce_sales" displayName="Cleaned_E_commerce_sales" ref="A1:O501" tableType="queryTable" totalsRowShown="0">
  <autoFilter ref="A1:O501" xr:uid="{939C9CDC-2002-4CA6-925A-32FAC50119A8}"/>
  <sortState xmlns:xlrd2="http://schemas.microsoft.com/office/spreadsheetml/2017/richdata2" ref="A2:O501">
    <sortCondition descending="1" ref="L209:L501"/>
  </sortState>
  <tableColumns count="15">
    <tableColumn id="1" xr3:uid="{33CA84F9-3575-4A0E-9E7A-FA35F9CB6072}" uniqueName="1" name="Order ID" queryTableFieldId="1" dataDxfId="12"/>
    <tableColumn id="2" xr3:uid="{5B34ABF9-DAE1-4024-88A9-5C792D50E7DC}" uniqueName="2" name="Order Date" queryTableFieldId="2" dataDxfId="11"/>
    <tableColumn id="3" xr3:uid="{11A9AE58-FAAE-4AC0-A9A6-8CE5FD8CE765}" uniqueName="3" name="Customer" queryTableFieldId="3" dataDxfId="10"/>
    <tableColumn id="4" xr3:uid="{C0D2BA5D-CF86-46D1-92B5-C3CDFBECA28F}" uniqueName="4" name="Region" queryTableFieldId="4" dataDxfId="9"/>
    <tableColumn id="5" xr3:uid="{A505048D-21D6-4640-A74D-FF79A4F36784}" uniqueName="5" name="Category" queryTableFieldId="5" dataDxfId="8"/>
    <tableColumn id="6" xr3:uid="{C60AAD9B-5A50-4DBC-A1CD-3B63C8094C6D}" uniqueName="6" name="Product" queryTableFieldId="6" dataDxfId="7"/>
    <tableColumn id="7" xr3:uid="{0E1FA993-8969-426F-AC18-BDF23FD29829}" uniqueName="7" name="Quantity" queryTableFieldId="7"/>
    <tableColumn id="8" xr3:uid="{AA01A002-7925-463C-9D15-3B5F3D29E987}" uniqueName="8" name="Unit Price" queryTableFieldId="8"/>
    <tableColumn id="9" xr3:uid="{51852D25-A4BC-481E-BD91-C150BA04A871}" uniqueName="9" name="Discount" queryTableFieldId="9"/>
    <tableColumn id="10" xr3:uid="{A556F8AC-BE3C-4C03-9802-67698E3D87DC}" uniqueName="10" name="Payment Mode" queryTableFieldId="10" dataDxfId="6"/>
    <tableColumn id="11" xr3:uid="{BABCC2E0-9C2E-4CD9-8F0E-90DFCFCDDF35}" uniqueName="11" name="Order Status" queryTableFieldId="11" dataDxfId="5"/>
    <tableColumn id="12" xr3:uid="{68BC566F-61C7-49EE-9EB4-7DEA3121F01E}" uniqueName="12" name="Sales Amount" queryTableFieldId="12"/>
    <tableColumn id="13" xr3:uid="{EC545774-1ADC-4D14-BB9F-0FF4725A9F0D}" uniqueName="13" name="Month Name" queryTableFieldId="13" dataDxfId="4"/>
    <tableColumn id="14" xr3:uid="{82749DD9-EFEC-4E3A-8F65-0162C66F06B3}" uniqueName="14" name="Month" queryTableFieldId="14"/>
    <tableColumn id="15" xr3:uid="{0F8F6833-948E-42A6-A94A-B4EBB5F02A74}" uniqueName="15" name="Start of Month" queryTableFieldId="1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21FAE-DD66-4E9E-BDB7-D38A34486871}" name="Table1" displayName="Table1" ref="A1:K509" totalsRowShown="0" headerRowDxfId="2" headerRowBorderDxfId="1" tableBorderDxfId="0">
  <autoFilter ref="A1:K509" xr:uid="{00000000-0001-0000-0000-000000000000}"/>
  <tableColumns count="11">
    <tableColumn id="1" xr3:uid="{DCD31C56-F118-4BD5-9C33-D524AF073AA3}" name="Order ID"/>
    <tableColumn id="2" xr3:uid="{C074DAC3-14A2-46D9-A0CE-0E6FA26A9752}" name="Order Date"/>
    <tableColumn id="3" xr3:uid="{FE40550C-5B6F-42FA-9BEC-F661E1822D9B}" name="Customer"/>
    <tableColumn id="4" xr3:uid="{19CCF77C-D58F-4ED2-AA21-31E30E7A748C}" name="Region"/>
    <tableColumn id="5" xr3:uid="{C74926D6-AF66-410D-AFB4-5A6EF7E7C2ED}" name="Category"/>
    <tableColumn id="6" xr3:uid="{F74EF0E8-0077-4734-B1FA-1B5BD789C82B}" name="Product"/>
    <tableColumn id="7" xr3:uid="{A697E7D7-7788-4259-B3AB-F6D5A10DFBB0}" name="Quantity"/>
    <tableColumn id="8" xr3:uid="{38176BB5-F68E-4BE4-BBCA-8343C3649130}" name="Unit Price"/>
    <tableColumn id="9" xr3:uid="{AE7F31D9-DC3C-42BD-91CE-0EB24B62EB58}" name="Discount"/>
    <tableColumn id="10" xr3:uid="{BA1C2BE7-F8F4-44E1-904B-409E0CD8084F}" name="Payment Mode"/>
    <tableColumn id="11" xr3:uid="{324595DB-CCD2-4E3A-A6A8-D3260CCA5DFB}" name="Order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932D-6769-405E-8B02-8CF2E38EF7B2}">
  <dimension ref="A1"/>
  <sheetViews>
    <sheetView topLeftCell="A8" workbookViewId="0">
      <selection activeCell="A17" sqref="A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BC0E-6181-4D31-B7BF-01FB7893FD6D}">
  <dimension ref="A1:O501"/>
  <sheetViews>
    <sheetView topLeftCell="A2" workbookViewId="0">
      <selection activeCell="F2" sqref="F2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1.33203125" bestFit="1" customWidth="1"/>
    <col min="4" max="4" width="9" bestFit="1" customWidth="1"/>
    <col min="5" max="5" width="10.77734375" bestFit="1" customWidth="1"/>
    <col min="6" max="6" width="17.33203125" bestFit="1" customWidth="1"/>
    <col min="7" max="7" width="10.5546875" bestFit="1" customWidth="1"/>
    <col min="8" max="8" width="11.33203125" bestFit="1" customWidth="1"/>
    <col min="9" max="9" width="10.5546875" bestFit="1" customWidth="1"/>
    <col min="10" max="10" width="16.33203125" bestFit="1" customWidth="1"/>
    <col min="11" max="11" width="13.6640625" bestFit="1" customWidth="1"/>
    <col min="12" max="12" width="14.77734375" bestFit="1" customWidth="1"/>
    <col min="13" max="13" width="14.44140625" bestFit="1" customWidth="1"/>
    <col min="14" max="14" width="9" bestFit="1" customWidth="1"/>
    <col min="15" max="15" width="15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759</v>
      </c>
      <c r="M1" t="s">
        <v>760</v>
      </c>
      <c r="N1" t="s">
        <v>761</v>
      </c>
      <c r="O1" t="s">
        <v>762</v>
      </c>
    </row>
    <row r="2" spans="1:15" x14ac:dyDescent="0.3">
      <c r="A2" t="s">
        <v>757</v>
      </c>
      <c r="B2" s="2">
        <v>46024</v>
      </c>
      <c r="C2" t="s">
        <v>249</v>
      </c>
      <c r="D2" t="s">
        <v>40</v>
      </c>
      <c r="E2" t="s">
        <v>15</v>
      </c>
      <c r="F2" t="s">
        <v>45</v>
      </c>
      <c r="G2">
        <v>5</v>
      </c>
      <c r="H2">
        <v>4500</v>
      </c>
      <c r="I2">
        <v>0</v>
      </c>
      <c r="J2" t="s">
        <v>764</v>
      </c>
      <c r="K2" t="s">
        <v>30</v>
      </c>
      <c r="L2">
        <v>22500</v>
      </c>
      <c r="M2" t="s">
        <v>763</v>
      </c>
      <c r="N2">
        <v>1</v>
      </c>
      <c r="O2" s="2">
        <v>46023</v>
      </c>
    </row>
    <row r="3" spans="1:15" x14ac:dyDescent="0.3">
      <c r="A3" t="s">
        <v>42</v>
      </c>
      <c r="B3" s="2">
        <v>46098</v>
      </c>
      <c r="C3" t="s">
        <v>44</v>
      </c>
      <c r="D3" t="s">
        <v>26</v>
      </c>
      <c r="E3" t="s">
        <v>15</v>
      </c>
      <c r="F3" t="s">
        <v>45</v>
      </c>
      <c r="G3">
        <v>5</v>
      </c>
      <c r="H3">
        <v>4500</v>
      </c>
      <c r="I3">
        <v>5</v>
      </c>
      <c r="J3" t="s">
        <v>764</v>
      </c>
      <c r="K3" t="s">
        <v>36</v>
      </c>
      <c r="L3">
        <v>21375</v>
      </c>
      <c r="M3" t="s">
        <v>767</v>
      </c>
      <c r="N3">
        <v>3</v>
      </c>
      <c r="O3" s="2">
        <v>46082</v>
      </c>
    </row>
    <row r="4" spans="1:15" x14ac:dyDescent="0.3">
      <c r="A4" t="s">
        <v>428</v>
      </c>
      <c r="B4" s="2">
        <v>46090</v>
      </c>
      <c r="C4" t="s">
        <v>249</v>
      </c>
      <c r="D4" t="s">
        <v>14</v>
      </c>
      <c r="E4" t="s">
        <v>15</v>
      </c>
      <c r="F4" t="s">
        <v>45</v>
      </c>
      <c r="G4">
        <v>5</v>
      </c>
      <c r="H4">
        <v>4500</v>
      </c>
      <c r="I4">
        <v>15</v>
      </c>
      <c r="J4" t="s">
        <v>764</v>
      </c>
      <c r="K4" t="s">
        <v>18</v>
      </c>
      <c r="L4">
        <v>19125</v>
      </c>
      <c r="M4" t="s">
        <v>767</v>
      </c>
      <c r="N4">
        <v>3</v>
      </c>
      <c r="O4" s="2">
        <v>46082</v>
      </c>
    </row>
    <row r="5" spans="1:15" x14ac:dyDescent="0.3">
      <c r="A5" t="s">
        <v>613</v>
      </c>
      <c r="B5" s="2">
        <v>46047</v>
      </c>
      <c r="C5" t="s">
        <v>166</v>
      </c>
      <c r="D5" t="s">
        <v>14</v>
      </c>
      <c r="E5" t="s">
        <v>15</v>
      </c>
      <c r="F5" t="s">
        <v>45</v>
      </c>
      <c r="G5">
        <v>4</v>
      </c>
      <c r="H5">
        <v>4500</v>
      </c>
      <c r="I5">
        <v>0</v>
      </c>
      <c r="J5" t="s">
        <v>764</v>
      </c>
      <c r="K5" t="s">
        <v>18</v>
      </c>
      <c r="L5">
        <v>18000</v>
      </c>
      <c r="M5" t="s">
        <v>763</v>
      </c>
      <c r="N5">
        <v>1</v>
      </c>
      <c r="O5" s="2">
        <v>46023</v>
      </c>
    </row>
    <row r="6" spans="1:15" x14ac:dyDescent="0.3">
      <c r="A6" t="s">
        <v>615</v>
      </c>
      <c r="B6" s="2">
        <v>46042</v>
      </c>
      <c r="C6" t="s">
        <v>21</v>
      </c>
      <c r="D6" t="s">
        <v>14</v>
      </c>
      <c r="E6" t="s">
        <v>34</v>
      </c>
      <c r="F6" t="s">
        <v>35</v>
      </c>
      <c r="G6">
        <v>5</v>
      </c>
      <c r="H6">
        <v>3500</v>
      </c>
      <c r="I6">
        <v>0</v>
      </c>
      <c r="J6" t="s">
        <v>55</v>
      </c>
      <c r="K6" t="s">
        <v>36</v>
      </c>
      <c r="L6">
        <v>17500</v>
      </c>
      <c r="M6" t="s">
        <v>763</v>
      </c>
      <c r="N6">
        <v>1</v>
      </c>
      <c r="O6" s="2">
        <v>46023</v>
      </c>
    </row>
    <row r="7" spans="1:15" x14ac:dyDescent="0.3">
      <c r="A7" t="s">
        <v>647</v>
      </c>
      <c r="B7" s="2">
        <v>46119</v>
      </c>
      <c r="C7" t="s">
        <v>71</v>
      </c>
      <c r="D7" t="s">
        <v>40</v>
      </c>
      <c r="E7" t="s">
        <v>34</v>
      </c>
      <c r="F7" t="s">
        <v>35</v>
      </c>
      <c r="G7">
        <v>5</v>
      </c>
      <c r="H7">
        <v>3500</v>
      </c>
      <c r="I7">
        <v>0</v>
      </c>
      <c r="J7" t="s">
        <v>51</v>
      </c>
      <c r="K7" t="s">
        <v>18</v>
      </c>
      <c r="L7">
        <v>17500</v>
      </c>
      <c r="M7" t="s">
        <v>768</v>
      </c>
      <c r="N7">
        <v>4</v>
      </c>
      <c r="O7" s="2">
        <v>46113</v>
      </c>
    </row>
    <row r="8" spans="1:15" x14ac:dyDescent="0.3">
      <c r="A8" t="s">
        <v>522</v>
      </c>
      <c r="B8" s="2">
        <v>46111</v>
      </c>
      <c r="C8" t="s">
        <v>117</v>
      </c>
      <c r="D8" t="s">
        <v>40</v>
      </c>
      <c r="E8" t="s">
        <v>15</v>
      </c>
      <c r="F8" t="s">
        <v>45</v>
      </c>
      <c r="G8">
        <v>4</v>
      </c>
      <c r="H8">
        <v>4500</v>
      </c>
      <c r="I8">
        <v>5</v>
      </c>
      <c r="J8" t="s">
        <v>764</v>
      </c>
      <c r="K8" t="s">
        <v>30</v>
      </c>
      <c r="L8">
        <v>17100</v>
      </c>
      <c r="M8" t="s">
        <v>767</v>
      </c>
      <c r="N8">
        <v>3</v>
      </c>
      <c r="O8" s="2">
        <v>46082</v>
      </c>
    </row>
    <row r="9" spans="1:15" x14ac:dyDescent="0.3">
      <c r="A9" t="s">
        <v>341</v>
      </c>
      <c r="B9" s="2">
        <v>46152</v>
      </c>
      <c r="C9" t="s">
        <v>21</v>
      </c>
      <c r="D9" t="s">
        <v>14</v>
      </c>
      <c r="E9" t="s">
        <v>15</v>
      </c>
      <c r="F9" t="s">
        <v>45</v>
      </c>
      <c r="G9">
        <v>4</v>
      </c>
      <c r="H9">
        <v>4500</v>
      </c>
      <c r="I9">
        <v>5</v>
      </c>
      <c r="J9" t="s">
        <v>764</v>
      </c>
      <c r="K9" t="s">
        <v>30</v>
      </c>
      <c r="L9">
        <v>17100</v>
      </c>
      <c r="M9" t="s">
        <v>769</v>
      </c>
      <c r="N9">
        <v>5</v>
      </c>
      <c r="O9" s="2">
        <v>46143</v>
      </c>
    </row>
    <row r="10" spans="1:15" x14ac:dyDescent="0.3">
      <c r="A10" t="s">
        <v>703</v>
      </c>
      <c r="B10" s="2">
        <v>46150</v>
      </c>
      <c r="C10" t="s">
        <v>84</v>
      </c>
      <c r="D10" t="s">
        <v>14</v>
      </c>
      <c r="E10" t="s">
        <v>15</v>
      </c>
      <c r="F10" t="s">
        <v>45</v>
      </c>
      <c r="G10">
        <v>4</v>
      </c>
      <c r="H10">
        <v>4500</v>
      </c>
      <c r="I10">
        <v>10</v>
      </c>
      <c r="J10" t="s">
        <v>55</v>
      </c>
      <c r="K10" t="s">
        <v>36</v>
      </c>
      <c r="L10">
        <v>16200</v>
      </c>
      <c r="M10" t="s">
        <v>769</v>
      </c>
      <c r="N10">
        <v>5</v>
      </c>
      <c r="O10" s="2">
        <v>46143</v>
      </c>
    </row>
    <row r="11" spans="1:15" x14ac:dyDescent="0.3">
      <c r="A11" t="s">
        <v>678</v>
      </c>
      <c r="B11" s="2">
        <v>46100</v>
      </c>
      <c r="C11" t="s">
        <v>154</v>
      </c>
      <c r="D11" t="s">
        <v>72</v>
      </c>
      <c r="E11" t="s">
        <v>49</v>
      </c>
      <c r="F11" t="s">
        <v>58</v>
      </c>
      <c r="G11">
        <v>5</v>
      </c>
      <c r="H11">
        <v>3200</v>
      </c>
      <c r="I11">
        <v>0</v>
      </c>
      <c r="J11" t="s">
        <v>764</v>
      </c>
      <c r="K11" t="s">
        <v>30</v>
      </c>
      <c r="L11">
        <v>16000</v>
      </c>
      <c r="M11" t="s">
        <v>767</v>
      </c>
      <c r="N11">
        <v>3</v>
      </c>
      <c r="O11" s="2">
        <v>46082</v>
      </c>
    </row>
    <row r="12" spans="1:15" x14ac:dyDescent="0.3">
      <c r="A12" t="s">
        <v>398</v>
      </c>
      <c r="B12" s="2">
        <v>46115</v>
      </c>
      <c r="C12" t="s">
        <v>61</v>
      </c>
      <c r="D12" t="s">
        <v>40</v>
      </c>
      <c r="E12" t="s">
        <v>15</v>
      </c>
      <c r="F12" t="s">
        <v>45</v>
      </c>
      <c r="G12">
        <v>4</v>
      </c>
      <c r="H12">
        <v>4500</v>
      </c>
      <c r="I12">
        <v>15</v>
      </c>
      <c r="J12" t="s">
        <v>764</v>
      </c>
      <c r="K12" t="s">
        <v>18</v>
      </c>
      <c r="L12">
        <v>15300</v>
      </c>
      <c r="M12" t="s">
        <v>768</v>
      </c>
      <c r="N12">
        <v>4</v>
      </c>
      <c r="O12" s="2">
        <v>46113</v>
      </c>
    </row>
    <row r="13" spans="1:15" x14ac:dyDescent="0.3">
      <c r="A13" t="s">
        <v>310</v>
      </c>
      <c r="B13" s="2">
        <v>46029</v>
      </c>
      <c r="C13" t="s">
        <v>215</v>
      </c>
      <c r="D13" t="s">
        <v>26</v>
      </c>
      <c r="E13" t="s">
        <v>49</v>
      </c>
      <c r="F13" t="s">
        <v>58</v>
      </c>
      <c r="G13">
        <v>5</v>
      </c>
      <c r="H13">
        <v>3200</v>
      </c>
      <c r="I13">
        <v>5</v>
      </c>
      <c r="J13" t="s">
        <v>764</v>
      </c>
      <c r="K13" t="s">
        <v>18</v>
      </c>
      <c r="L13">
        <v>15200</v>
      </c>
      <c r="M13" t="s">
        <v>763</v>
      </c>
      <c r="N13">
        <v>1</v>
      </c>
      <c r="O13" s="2">
        <v>46023</v>
      </c>
    </row>
    <row r="14" spans="1:15" x14ac:dyDescent="0.3">
      <c r="A14" t="s">
        <v>243</v>
      </c>
      <c r="B14" s="2">
        <v>46049</v>
      </c>
      <c r="C14" t="s">
        <v>48</v>
      </c>
      <c r="D14" t="s">
        <v>40</v>
      </c>
      <c r="E14" t="s">
        <v>49</v>
      </c>
      <c r="F14" t="s">
        <v>58</v>
      </c>
      <c r="G14">
        <v>5</v>
      </c>
      <c r="H14">
        <v>3200</v>
      </c>
      <c r="I14">
        <v>10</v>
      </c>
      <c r="J14" t="s">
        <v>29</v>
      </c>
      <c r="K14" t="s">
        <v>18</v>
      </c>
      <c r="L14">
        <v>14400</v>
      </c>
      <c r="M14" t="s">
        <v>763</v>
      </c>
      <c r="N14">
        <v>1</v>
      </c>
      <c r="O14" s="2">
        <v>46023</v>
      </c>
    </row>
    <row r="15" spans="1:15" x14ac:dyDescent="0.3">
      <c r="A15" t="s">
        <v>605</v>
      </c>
      <c r="B15" s="2">
        <v>46104</v>
      </c>
      <c r="C15" t="s">
        <v>39</v>
      </c>
      <c r="D15" t="s">
        <v>40</v>
      </c>
      <c r="E15" t="s">
        <v>49</v>
      </c>
      <c r="F15" t="s">
        <v>58</v>
      </c>
      <c r="G15">
        <v>5</v>
      </c>
      <c r="H15">
        <v>3200</v>
      </c>
      <c r="I15">
        <v>10</v>
      </c>
      <c r="J15" t="s">
        <v>764</v>
      </c>
      <c r="K15" t="s">
        <v>36</v>
      </c>
      <c r="L15">
        <v>14400</v>
      </c>
      <c r="M15" t="s">
        <v>767</v>
      </c>
      <c r="N15">
        <v>3</v>
      </c>
      <c r="O15" s="2">
        <v>46082</v>
      </c>
    </row>
    <row r="16" spans="1:15" x14ac:dyDescent="0.3">
      <c r="A16" t="s">
        <v>620</v>
      </c>
      <c r="B16" s="2">
        <v>46030</v>
      </c>
      <c r="C16" t="s">
        <v>176</v>
      </c>
      <c r="D16" t="s">
        <v>72</v>
      </c>
      <c r="E16" t="s">
        <v>34</v>
      </c>
      <c r="F16" t="s">
        <v>35</v>
      </c>
      <c r="G16">
        <v>5</v>
      </c>
      <c r="H16">
        <v>3500</v>
      </c>
      <c r="I16">
        <v>20</v>
      </c>
      <c r="J16" t="s">
        <v>55</v>
      </c>
      <c r="K16" t="s">
        <v>36</v>
      </c>
      <c r="L16">
        <v>14000</v>
      </c>
      <c r="M16" t="s">
        <v>763</v>
      </c>
      <c r="N16">
        <v>1</v>
      </c>
      <c r="O16" s="2">
        <v>46023</v>
      </c>
    </row>
    <row r="17" spans="1:15" x14ac:dyDescent="0.3">
      <c r="A17" t="s">
        <v>691</v>
      </c>
      <c r="B17" s="2">
        <v>46066</v>
      </c>
      <c r="C17" t="s">
        <v>125</v>
      </c>
      <c r="D17" t="s">
        <v>14</v>
      </c>
      <c r="E17" t="s">
        <v>34</v>
      </c>
      <c r="F17" t="s">
        <v>35</v>
      </c>
      <c r="G17">
        <v>4</v>
      </c>
      <c r="H17">
        <v>3500</v>
      </c>
      <c r="I17">
        <v>0</v>
      </c>
      <c r="J17" t="s">
        <v>55</v>
      </c>
      <c r="K17" t="s">
        <v>18</v>
      </c>
      <c r="L17">
        <v>14000</v>
      </c>
      <c r="M17" t="s">
        <v>765</v>
      </c>
      <c r="N17">
        <v>2</v>
      </c>
      <c r="O17" s="2">
        <v>46054</v>
      </c>
    </row>
    <row r="18" spans="1:15" x14ac:dyDescent="0.3">
      <c r="A18" t="s">
        <v>139</v>
      </c>
      <c r="B18" s="2">
        <v>46135</v>
      </c>
      <c r="C18" t="s">
        <v>44</v>
      </c>
      <c r="D18" t="s">
        <v>26</v>
      </c>
      <c r="E18" t="s">
        <v>34</v>
      </c>
      <c r="F18" t="s">
        <v>35</v>
      </c>
      <c r="G18">
        <v>5</v>
      </c>
      <c r="H18">
        <v>3500</v>
      </c>
      <c r="I18">
        <v>20</v>
      </c>
      <c r="J18" t="s">
        <v>764</v>
      </c>
      <c r="K18" t="s">
        <v>30</v>
      </c>
      <c r="L18">
        <v>14000</v>
      </c>
      <c r="M18" t="s">
        <v>768</v>
      </c>
      <c r="N18">
        <v>4</v>
      </c>
      <c r="O18" s="2">
        <v>46113</v>
      </c>
    </row>
    <row r="19" spans="1:15" x14ac:dyDescent="0.3">
      <c r="A19" t="s">
        <v>705</v>
      </c>
      <c r="B19" s="2">
        <v>46139</v>
      </c>
      <c r="C19" t="s">
        <v>122</v>
      </c>
      <c r="D19" t="s">
        <v>26</v>
      </c>
      <c r="E19" t="s">
        <v>34</v>
      </c>
      <c r="F19" t="s">
        <v>35</v>
      </c>
      <c r="G19">
        <v>4</v>
      </c>
      <c r="H19">
        <v>3500</v>
      </c>
      <c r="I19">
        <v>0</v>
      </c>
      <c r="J19" t="s">
        <v>764</v>
      </c>
      <c r="K19" t="s">
        <v>22</v>
      </c>
      <c r="L19">
        <v>14000</v>
      </c>
      <c r="M19" t="s">
        <v>768</v>
      </c>
      <c r="N19">
        <v>4</v>
      </c>
      <c r="O19" s="2">
        <v>46113</v>
      </c>
    </row>
    <row r="20" spans="1:15" x14ac:dyDescent="0.3">
      <c r="A20" t="s">
        <v>510</v>
      </c>
      <c r="B20" s="2">
        <v>46148</v>
      </c>
      <c r="C20" t="s">
        <v>71</v>
      </c>
      <c r="D20" t="s">
        <v>40</v>
      </c>
      <c r="E20" t="s">
        <v>49</v>
      </c>
      <c r="F20" t="s">
        <v>351</v>
      </c>
      <c r="G20">
        <v>5</v>
      </c>
      <c r="H20">
        <v>2800</v>
      </c>
      <c r="I20">
        <v>0</v>
      </c>
      <c r="J20" t="s">
        <v>764</v>
      </c>
      <c r="K20" t="s">
        <v>36</v>
      </c>
      <c r="L20">
        <v>14000</v>
      </c>
      <c r="M20" t="s">
        <v>769</v>
      </c>
      <c r="N20">
        <v>5</v>
      </c>
      <c r="O20" s="2">
        <v>46143</v>
      </c>
    </row>
    <row r="21" spans="1:15" x14ac:dyDescent="0.3">
      <c r="A21" t="s">
        <v>259</v>
      </c>
      <c r="B21" s="2">
        <v>46080</v>
      </c>
      <c r="C21" t="s">
        <v>249</v>
      </c>
      <c r="D21" t="s">
        <v>14</v>
      </c>
      <c r="E21" t="s">
        <v>15</v>
      </c>
      <c r="F21" t="s">
        <v>45</v>
      </c>
      <c r="G21">
        <v>3</v>
      </c>
      <c r="H21">
        <v>4500</v>
      </c>
      <c r="I21">
        <v>5</v>
      </c>
      <c r="J21" t="s">
        <v>764</v>
      </c>
      <c r="K21" t="s">
        <v>36</v>
      </c>
      <c r="L21">
        <v>12825</v>
      </c>
      <c r="M21" t="s">
        <v>765</v>
      </c>
      <c r="N21">
        <v>2</v>
      </c>
      <c r="O21" s="2">
        <v>46054</v>
      </c>
    </row>
    <row r="22" spans="1:15" x14ac:dyDescent="0.3">
      <c r="A22" t="s">
        <v>356</v>
      </c>
      <c r="B22" s="2">
        <v>46159</v>
      </c>
      <c r="C22" t="s">
        <v>133</v>
      </c>
      <c r="D22" t="s">
        <v>14</v>
      </c>
      <c r="E22" t="s">
        <v>49</v>
      </c>
      <c r="F22" t="s">
        <v>58</v>
      </c>
      <c r="G22">
        <v>5</v>
      </c>
      <c r="H22">
        <v>3200</v>
      </c>
      <c r="I22">
        <v>20</v>
      </c>
      <c r="J22" t="s">
        <v>51</v>
      </c>
      <c r="K22" t="s">
        <v>36</v>
      </c>
      <c r="L22">
        <v>12800</v>
      </c>
      <c r="M22" t="s">
        <v>769</v>
      </c>
      <c r="N22">
        <v>5</v>
      </c>
      <c r="O22" s="2">
        <v>46143</v>
      </c>
    </row>
    <row r="23" spans="1:15" x14ac:dyDescent="0.3">
      <c r="A23" t="s">
        <v>307</v>
      </c>
      <c r="B23" s="2">
        <v>46165</v>
      </c>
      <c r="C23" t="s">
        <v>54</v>
      </c>
      <c r="D23" t="s">
        <v>40</v>
      </c>
      <c r="E23" t="s">
        <v>49</v>
      </c>
      <c r="F23" t="s">
        <v>58</v>
      </c>
      <c r="G23">
        <v>4</v>
      </c>
      <c r="H23">
        <v>3200</v>
      </c>
      <c r="I23">
        <v>0</v>
      </c>
      <c r="J23" t="s">
        <v>51</v>
      </c>
      <c r="K23" t="s">
        <v>36</v>
      </c>
      <c r="L23">
        <v>12800</v>
      </c>
      <c r="M23" t="s">
        <v>769</v>
      </c>
      <c r="N23">
        <v>5</v>
      </c>
      <c r="O23" s="2">
        <v>46143</v>
      </c>
    </row>
    <row r="24" spans="1:15" x14ac:dyDescent="0.3">
      <c r="A24" t="s">
        <v>688</v>
      </c>
      <c r="B24" s="2">
        <v>46053</v>
      </c>
      <c r="C24" t="s">
        <v>48</v>
      </c>
      <c r="D24" t="s">
        <v>72</v>
      </c>
      <c r="E24" t="s">
        <v>49</v>
      </c>
      <c r="F24" t="s">
        <v>351</v>
      </c>
      <c r="G24">
        <v>5</v>
      </c>
      <c r="H24">
        <v>2800</v>
      </c>
      <c r="I24">
        <v>10</v>
      </c>
      <c r="J24" t="s">
        <v>29</v>
      </c>
      <c r="K24" t="s">
        <v>36</v>
      </c>
      <c r="L24">
        <v>12600</v>
      </c>
      <c r="M24" t="s">
        <v>763</v>
      </c>
      <c r="N24">
        <v>1</v>
      </c>
      <c r="O24" s="2">
        <v>46023</v>
      </c>
    </row>
    <row r="25" spans="1:15" x14ac:dyDescent="0.3">
      <c r="A25" t="s">
        <v>638</v>
      </c>
      <c r="B25" s="2">
        <v>46063</v>
      </c>
      <c r="C25" t="s">
        <v>88</v>
      </c>
      <c r="D25" t="s">
        <v>72</v>
      </c>
      <c r="E25" t="s">
        <v>34</v>
      </c>
      <c r="F25" t="s">
        <v>35</v>
      </c>
      <c r="G25">
        <v>4</v>
      </c>
      <c r="H25">
        <v>3500</v>
      </c>
      <c r="I25">
        <v>10</v>
      </c>
      <c r="J25" t="s">
        <v>55</v>
      </c>
      <c r="K25" t="s">
        <v>30</v>
      </c>
      <c r="L25">
        <v>12600</v>
      </c>
      <c r="M25" t="s">
        <v>765</v>
      </c>
      <c r="N25">
        <v>2</v>
      </c>
      <c r="O25" s="2">
        <v>46054</v>
      </c>
    </row>
    <row r="26" spans="1:15" x14ac:dyDescent="0.3">
      <c r="A26" t="s">
        <v>588</v>
      </c>
      <c r="B26" s="2">
        <v>46155</v>
      </c>
      <c r="C26" t="s">
        <v>215</v>
      </c>
      <c r="D26" t="s">
        <v>14</v>
      </c>
      <c r="E26" t="s">
        <v>34</v>
      </c>
      <c r="F26" t="s">
        <v>35</v>
      </c>
      <c r="G26">
        <v>4</v>
      </c>
      <c r="H26">
        <v>3500</v>
      </c>
      <c r="I26">
        <v>10</v>
      </c>
      <c r="J26" t="s">
        <v>764</v>
      </c>
      <c r="K26" t="s">
        <v>22</v>
      </c>
      <c r="L26">
        <v>12600</v>
      </c>
      <c r="M26" t="s">
        <v>769</v>
      </c>
      <c r="N26">
        <v>5</v>
      </c>
      <c r="O26" s="2">
        <v>46143</v>
      </c>
    </row>
    <row r="27" spans="1:15" x14ac:dyDescent="0.3">
      <c r="A27" t="s">
        <v>676</v>
      </c>
      <c r="B27" s="2">
        <v>46056</v>
      </c>
      <c r="C27" t="s">
        <v>249</v>
      </c>
      <c r="D27" t="s">
        <v>14</v>
      </c>
      <c r="E27" t="s">
        <v>15</v>
      </c>
      <c r="F27" t="s">
        <v>146</v>
      </c>
      <c r="G27">
        <v>5</v>
      </c>
      <c r="H27">
        <v>2500</v>
      </c>
      <c r="I27">
        <v>0</v>
      </c>
      <c r="J27" t="s">
        <v>55</v>
      </c>
      <c r="K27" t="s">
        <v>30</v>
      </c>
      <c r="L27">
        <v>12500</v>
      </c>
      <c r="M27" t="s">
        <v>765</v>
      </c>
      <c r="N27">
        <v>2</v>
      </c>
      <c r="O27" s="2">
        <v>46054</v>
      </c>
    </row>
    <row r="28" spans="1:15" x14ac:dyDescent="0.3">
      <c r="A28" t="s">
        <v>384</v>
      </c>
      <c r="B28" s="2">
        <v>46118</v>
      </c>
      <c r="C28" t="s">
        <v>99</v>
      </c>
      <c r="D28" t="s">
        <v>40</v>
      </c>
      <c r="E28" t="s">
        <v>15</v>
      </c>
      <c r="F28" t="s">
        <v>146</v>
      </c>
      <c r="G28">
        <v>5</v>
      </c>
      <c r="H28">
        <v>2500</v>
      </c>
      <c r="I28">
        <v>0</v>
      </c>
      <c r="J28" t="s">
        <v>51</v>
      </c>
      <c r="K28" t="s">
        <v>36</v>
      </c>
      <c r="L28">
        <v>12500</v>
      </c>
      <c r="M28" t="s">
        <v>768</v>
      </c>
      <c r="N28">
        <v>4</v>
      </c>
      <c r="O28" s="2">
        <v>46113</v>
      </c>
    </row>
    <row r="29" spans="1:15" x14ac:dyDescent="0.3">
      <c r="A29" t="s">
        <v>737</v>
      </c>
      <c r="B29" s="2">
        <v>46122</v>
      </c>
      <c r="C29" t="s">
        <v>109</v>
      </c>
      <c r="D29" t="s">
        <v>26</v>
      </c>
      <c r="E29" t="s">
        <v>15</v>
      </c>
      <c r="F29" t="s">
        <v>146</v>
      </c>
      <c r="G29">
        <v>5</v>
      </c>
      <c r="H29">
        <v>2500</v>
      </c>
      <c r="I29">
        <v>0</v>
      </c>
      <c r="J29" t="s">
        <v>764</v>
      </c>
      <c r="K29" t="s">
        <v>30</v>
      </c>
      <c r="L29">
        <v>12500</v>
      </c>
      <c r="M29" t="s">
        <v>768</v>
      </c>
      <c r="N29">
        <v>4</v>
      </c>
      <c r="O29" s="2">
        <v>46113</v>
      </c>
    </row>
    <row r="30" spans="1:15" x14ac:dyDescent="0.3">
      <c r="A30" t="s">
        <v>541</v>
      </c>
      <c r="B30" s="2">
        <v>46087</v>
      </c>
      <c r="C30" t="s">
        <v>154</v>
      </c>
      <c r="D30" t="s">
        <v>14</v>
      </c>
      <c r="E30" t="s">
        <v>34</v>
      </c>
      <c r="F30" t="s">
        <v>35</v>
      </c>
      <c r="G30">
        <v>4</v>
      </c>
      <c r="H30">
        <v>3500</v>
      </c>
      <c r="I30">
        <v>15</v>
      </c>
      <c r="J30" t="s">
        <v>764</v>
      </c>
      <c r="K30" t="s">
        <v>18</v>
      </c>
      <c r="L30">
        <v>11900</v>
      </c>
      <c r="M30" t="s">
        <v>767</v>
      </c>
      <c r="N30">
        <v>3</v>
      </c>
      <c r="O30" s="2">
        <v>46082</v>
      </c>
    </row>
    <row r="31" spans="1:15" x14ac:dyDescent="0.3">
      <c r="A31" t="s">
        <v>655</v>
      </c>
      <c r="B31" s="2">
        <v>46034</v>
      </c>
      <c r="C31" t="s">
        <v>39</v>
      </c>
      <c r="D31" t="s">
        <v>72</v>
      </c>
      <c r="E31" t="s">
        <v>49</v>
      </c>
      <c r="F31" t="s">
        <v>58</v>
      </c>
      <c r="G31">
        <v>4</v>
      </c>
      <c r="H31">
        <v>3200</v>
      </c>
      <c r="I31">
        <v>10</v>
      </c>
      <c r="J31" t="s">
        <v>55</v>
      </c>
      <c r="K31" t="s">
        <v>30</v>
      </c>
      <c r="L31">
        <v>11520</v>
      </c>
      <c r="M31" t="s">
        <v>763</v>
      </c>
      <c r="N31">
        <v>1</v>
      </c>
      <c r="O31" s="2">
        <v>46023</v>
      </c>
    </row>
    <row r="32" spans="1:15" x14ac:dyDescent="0.3">
      <c r="A32" t="s">
        <v>374</v>
      </c>
      <c r="B32" s="2">
        <v>46192</v>
      </c>
      <c r="C32" t="s">
        <v>105</v>
      </c>
      <c r="D32" t="s">
        <v>26</v>
      </c>
      <c r="E32" t="s">
        <v>15</v>
      </c>
      <c r="F32" t="s">
        <v>45</v>
      </c>
      <c r="G32">
        <v>3</v>
      </c>
      <c r="H32">
        <v>4500</v>
      </c>
      <c r="I32">
        <v>15</v>
      </c>
      <c r="J32" t="s">
        <v>55</v>
      </c>
      <c r="K32" t="s">
        <v>36</v>
      </c>
      <c r="L32">
        <v>11475</v>
      </c>
      <c r="M32" t="s">
        <v>770</v>
      </c>
      <c r="N32">
        <v>6</v>
      </c>
      <c r="O32" s="2">
        <v>46174</v>
      </c>
    </row>
    <row r="33" spans="1:15" x14ac:dyDescent="0.3">
      <c r="A33" t="s">
        <v>627</v>
      </c>
      <c r="B33" s="2">
        <v>46181</v>
      </c>
      <c r="C33" t="s">
        <v>215</v>
      </c>
      <c r="D33" t="s">
        <v>14</v>
      </c>
      <c r="E33" t="s">
        <v>15</v>
      </c>
      <c r="F33" t="s">
        <v>45</v>
      </c>
      <c r="G33">
        <v>3</v>
      </c>
      <c r="H33">
        <v>4500</v>
      </c>
      <c r="I33">
        <v>15</v>
      </c>
      <c r="J33" t="s">
        <v>29</v>
      </c>
      <c r="K33" t="s">
        <v>18</v>
      </c>
      <c r="L33">
        <v>11475</v>
      </c>
      <c r="M33" t="s">
        <v>770</v>
      </c>
      <c r="N33">
        <v>6</v>
      </c>
      <c r="O33" s="2">
        <v>46174</v>
      </c>
    </row>
    <row r="34" spans="1:15" x14ac:dyDescent="0.3">
      <c r="A34" t="s">
        <v>443</v>
      </c>
      <c r="B34" s="2">
        <v>46118</v>
      </c>
      <c r="C34" t="s">
        <v>159</v>
      </c>
      <c r="D34" t="s">
        <v>26</v>
      </c>
      <c r="E34" t="s">
        <v>15</v>
      </c>
      <c r="F34" t="s">
        <v>146</v>
      </c>
      <c r="G34">
        <v>5</v>
      </c>
      <c r="H34">
        <v>2500</v>
      </c>
      <c r="I34">
        <v>10</v>
      </c>
      <c r="J34" t="s">
        <v>55</v>
      </c>
      <c r="K34" t="s">
        <v>22</v>
      </c>
      <c r="L34">
        <v>11250</v>
      </c>
      <c r="M34" t="s">
        <v>768</v>
      </c>
      <c r="N34">
        <v>4</v>
      </c>
      <c r="O34" s="2">
        <v>46113</v>
      </c>
    </row>
    <row r="35" spans="1:15" x14ac:dyDescent="0.3">
      <c r="A35" t="s">
        <v>201</v>
      </c>
      <c r="B35" s="2">
        <v>46130</v>
      </c>
      <c r="C35" t="s">
        <v>176</v>
      </c>
      <c r="D35" t="s">
        <v>40</v>
      </c>
      <c r="E35" t="s">
        <v>15</v>
      </c>
      <c r="F35" t="s">
        <v>73</v>
      </c>
      <c r="G35">
        <v>5</v>
      </c>
      <c r="H35">
        <v>2200</v>
      </c>
      <c r="I35">
        <v>0</v>
      </c>
      <c r="J35" t="s">
        <v>29</v>
      </c>
      <c r="K35" t="s">
        <v>36</v>
      </c>
      <c r="L35">
        <v>11000</v>
      </c>
      <c r="M35" t="s">
        <v>768</v>
      </c>
      <c r="N35">
        <v>4</v>
      </c>
      <c r="O35" s="2">
        <v>46113</v>
      </c>
    </row>
    <row r="36" spans="1:15" x14ac:dyDescent="0.3">
      <c r="A36" t="s">
        <v>69</v>
      </c>
      <c r="B36" s="2">
        <v>46183</v>
      </c>
      <c r="C36" t="s">
        <v>71</v>
      </c>
      <c r="D36" t="s">
        <v>72</v>
      </c>
      <c r="E36" t="s">
        <v>15</v>
      </c>
      <c r="F36" t="s">
        <v>73</v>
      </c>
      <c r="G36">
        <v>5</v>
      </c>
      <c r="H36">
        <v>2200</v>
      </c>
      <c r="I36">
        <v>0</v>
      </c>
      <c r="J36" t="s">
        <v>29</v>
      </c>
      <c r="K36" t="s">
        <v>18</v>
      </c>
      <c r="L36">
        <v>11000</v>
      </c>
      <c r="M36" t="s">
        <v>770</v>
      </c>
      <c r="N36">
        <v>6</v>
      </c>
      <c r="O36" s="2">
        <v>46174</v>
      </c>
    </row>
    <row r="37" spans="1:15" x14ac:dyDescent="0.3">
      <c r="A37" t="s">
        <v>234</v>
      </c>
      <c r="B37" s="2">
        <v>46148</v>
      </c>
      <c r="C37" t="s">
        <v>99</v>
      </c>
      <c r="D37" t="s">
        <v>14</v>
      </c>
      <c r="E37" t="s">
        <v>49</v>
      </c>
      <c r="F37" t="s">
        <v>58</v>
      </c>
      <c r="G37">
        <v>4</v>
      </c>
      <c r="H37">
        <v>3200</v>
      </c>
      <c r="I37">
        <v>15</v>
      </c>
      <c r="J37" t="s">
        <v>29</v>
      </c>
      <c r="K37" t="s">
        <v>36</v>
      </c>
      <c r="L37">
        <v>10880</v>
      </c>
      <c r="M37" t="s">
        <v>769</v>
      </c>
      <c r="N37">
        <v>5</v>
      </c>
      <c r="O37" s="2">
        <v>46143</v>
      </c>
    </row>
    <row r="38" spans="1:15" x14ac:dyDescent="0.3">
      <c r="A38" t="s">
        <v>573</v>
      </c>
      <c r="B38" s="2">
        <v>46148</v>
      </c>
      <c r="C38" t="s">
        <v>105</v>
      </c>
      <c r="D38" t="s">
        <v>26</v>
      </c>
      <c r="E38" t="s">
        <v>49</v>
      </c>
      <c r="F38" t="s">
        <v>58</v>
      </c>
      <c r="G38">
        <v>4</v>
      </c>
      <c r="H38">
        <v>3200</v>
      </c>
      <c r="I38">
        <v>15</v>
      </c>
      <c r="J38" t="s">
        <v>29</v>
      </c>
      <c r="K38" t="s">
        <v>36</v>
      </c>
      <c r="L38">
        <v>10880</v>
      </c>
      <c r="M38" t="s">
        <v>769</v>
      </c>
      <c r="N38">
        <v>5</v>
      </c>
      <c r="O38" s="2">
        <v>46143</v>
      </c>
    </row>
    <row r="39" spans="1:15" x14ac:dyDescent="0.3">
      <c r="A39" t="s">
        <v>553</v>
      </c>
      <c r="B39" s="2">
        <v>46184</v>
      </c>
      <c r="C39" t="s">
        <v>71</v>
      </c>
      <c r="D39" t="s">
        <v>14</v>
      </c>
      <c r="E39" t="s">
        <v>49</v>
      </c>
      <c r="F39" t="s">
        <v>58</v>
      </c>
      <c r="G39">
        <v>4</v>
      </c>
      <c r="H39">
        <v>3200</v>
      </c>
      <c r="I39">
        <v>15</v>
      </c>
      <c r="J39" t="s">
        <v>764</v>
      </c>
      <c r="K39" t="s">
        <v>22</v>
      </c>
      <c r="L39">
        <v>10880</v>
      </c>
      <c r="M39" t="s">
        <v>770</v>
      </c>
      <c r="N39">
        <v>6</v>
      </c>
      <c r="O39" s="2">
        <v>46174</v>
      </c>
    </row>
    <row r="40" spans="1:15" x14ac:dyDescent="0.3">
      <c r="A40" t="s">
        <v>360</v>
      </c>
      <c r="B40" s="2">
        <v>46050</v>
      </c>
      <c r="C40" t="s">
        <v>13</v>
      </c>
      <c r="D40" t="s">
        <v>72</v>
      </c>
      <c r="E40" t="s">
        <v>15</v>
      </c>
      <c r="F40" t="s">
        <v>146</v>
      </c>
      <c r="G40">
        <v>5</v>
      </c>
      <c r="H40">
        <v>2500</v>
      </c>
      <c r="I40">
        <v>15</v>
      </c>
      <c r="J40" t="s">
        <v>764</v>
      </c>
      <c r="K40" t="s">
        <v>18</v>
      </c>
      <c r="L40">
        <v>10625</v>
      </c>
      <c r="M40" t="s">
        <v>763</v>
      </c>
      <c r="N40">
        <v>1</v>
      </c>
      <c r="O40" s="2">
        <v>46023</v>
      </c>
    </row>
    <row r="41" spans="1:15" x14ac:dyDescent="0.3">
      <c r="A41" t="s">
        <v>301</v>
      </c>
      <c r="B41" s="2">
        <v>46093</v>
      </c>
      <c r="C41" t="s">
        <v>220</v>
      </c>
      <c r="D41" t="s">
        <v>14</v>
      </c>
      <c r="E41" t="s">
        <v>15</v>
      </c>
      <c r="F41" t="s">
        <v>146</v>
      </c>
      <c r="G41">
        <v>5</v>
      </c>
      <c r="H41">
        <v>2500</v>
      </c>
      <c r="I41">
        <v>15</v>
      </c>
      <c r="J41" t="s">
        <v>51</v>
      </c>
      <c r="K41" t="s">
        <v>22</v>
      </c>
      <c r="L41">
        <v>10625</v>
      </c>
      <c r="M41" t="s">
        <v>767</v>
      </c>
      <c r="N41">
        <v>3</v>
      </c>
      <c r="O41" s="2">
        <v>46082</v>
      </c>
    </row>
    <row r="42" spans="1:15" x14ac:dyDescent="0.3">
      <c r="A42" t="s">
        <v>239</v>
      </c>
      <c r="B42" s="2">
        <v>46053</v>
      </c>
      <c r="C42" t="s">
        <v>88</v>
      </c>
      <c r="D42" t="s">
        <v>14</v>
      </c>
      <c r="E42" t="s">
        <v>34</v>
      </c>
      <c r="F42" t="s">
        <v>35</v>
      </c>
      <c r="G42">
        <v>3</v>
      </c>
      <c r="H42">
        <v>3500</v>
      </c>
      <c r="I42">
        <v>0</v>
      </c>
      <c r="J42" t="s">
        <v>55</v>
      </c>
      <c r="K42" t="s">
        <v>22</v>
      </c>
      <c r="L42">
        <v>10500</v>
      </c>
      <c r="M42" t="s">
        <v>763</v>
      </c>
      <c r="N42">
        <v>1</v>
      </c>
      <c r="O42" s="2">
        <v>46023</v>
      </c>
    </row>
    <row r="43" spans="1:15" x14ac:dyDescent="0.3">
      <c r="A43" t="s">
        <v>123</v>
      </c>
      <c r="B43" s="2">
        <v>46037</v>
      </c>
      <c r="C43" t="s">
        <v>125</v>
      </c>
      <c r="D43" t="s">
        <v>40</v>
      </c>
      <c r="E43" t="s">
        <v>34</v>
      </c>
      <c r="F43" t="s">
        <v>35</v>
      </c>
      <c r="G43">
        <v>3</v>
      </c>
      <c r="H43">
        <v>3500</v>
      </c>
      <c r="I43">
        <v>0</v>
      </c>
      <c r="J43" t="s">
        <v>764</v>
      </c>
      <c r="K43" t="s">
        <v>18</v>
      </c>
      <c r="L43">
        <v>10500</v>
      </c>
      <c r="M43" t="s">
        <v>763</v>
      </c>
      <c r="N43">
        <v>1</v>
      </c>
      <c r="O43" s="2">
        <v>46023</v>
      </c>
    </row>
    <row r="44" spans="1:15" x14ac:dyDescent="0.3">
      <c r="A44" t="s">
        <v>242</v>
      </c>
      <c r="B44" s="2">
        <v>46100</v>
      </c>
      <c r="C44" t="s">
        <v>220</v>
      </c>
      <c r="D44" t="s">
        <v>14</v>
      </c>
      <c r="E44" t="s">
        <v>34</v>
      </c>
      <c r="F44" t="s">
        <v>35</v>
      </c>
      <c r="G44">
        <v>3</v>
      </c>
      <c r="H44">
        <v>3500</v>
      </c>
      <c r="I44">
        <v>0</v>
      </c>
      <c r="J44" t="s">
        <v>764</v>
      </c>
      <c r="K44" t="s">
        <v>30</v>
      </c>
      <c r="L44">
        <v>10500</v>
      </c>
      <c r="M44" t="s">
        <v>767</v>
      </c>
      <c r="N44">
        <v>3</v>
      </c>
      <c r="O44" s="2">
        <v>46082</v>
      </c>
    </row>
    <row r="45" spans="1:15" x14ac:dyDescent="0.3">
      <c r="A45" t="s">
        <v>52</v>
      </c>
      <c r="B45" s="2">
        <v>46117</v>
      </c>
      <c r="C45" t="s">
        <v>54</v>
      </c>
      <c r="D45" t="s">
        <v>14</v>
      </c>
      <c r="E45" t="s">
        <v>34</v>
      </c>
      <c r="F45" t="s">
        <v>35</v>
      </c>
      <c r="G45">
        <v>3</v>
      </c>
      <c r="H45">
        <v>3500</v>
      </c>
      <c r="I45">
        <v>0</v>
      </c>
      <c r="J45" t="s">
        <v>55</v>
      </c>
      <c r="K45" t="s">
        <v>22</v>
      </c>
      <c r="L45">
        <v>10500</v>
      </c>
      <c r="M45" t="s">
        <v>768</v>
      </c>
      <c r="N45">
        <v>4</v>
      </c>
      <c r="O45" s="2">
        <v>46113</v>
      </c>
    </row>
    <row r="46" spans="1:15" x14ac:dyDescent="0.3">
      <c r="A46" t="s">
        <v>140</v>
      </c>
      <c r="B46" s="2">
        <v>46090</v>
      </c>
      <c r="C46" t="s">
        <v>142</v>
      </c>
      <c r="D46" t="s">
        <v>40</v>
      </c>
      <c r="E46" t="s">
        <v>15</v>
      </c>
      <c r="F46" t="s">
        <v>73</v>
      </c>
      <c r="G46">
        <v>5</v>
      </c>
      <c r="H46">
        <v>2200</v>
      </c>
      <c r="I46">
        <v>5</v>
      </c>
      <c r="J46" t="s">
        <v>51</v>
      </c>
      <c r="K46" t="s">
        <v>30</v>
      </c>
      <c r="L46">
        <v>10450</v>
      </c>
      <c r="M46" t="s">
        <v>767</v>
      </c>
      <c r="N46">
        <v>3</v>
      </c>
      <c r="O46" s="2">
        <v>46082</v>
      </c>
    </row>
    <row r="47" spans="1:15" x14ac:dyDescent="0.3">
      <c r="A47" t="s">
        <v>190</v>
      </c>
      <c r="B47" s="2">
        <v>46057</v>
      </c>
      <c r="C47" t="s">
        <v>159</v>
      </c>
      <c r="D47" t="s">
        <v>72</v>
      </c>
      <c r="E47" t="s">
        <v>15</v>
      </c>
      <c r="F47" t="s">
        <v>146</v>
      </c>
      <c r="G47">
        <v>5</v>
      </c>
      <c r="H47">
        <v>2500</v>
      </c>
      <c r="I47">
        <v>20</v>
      </c>
      <c r="J47" t="s">
        <v>51</v>
      </c>
      <c r="K47" t="s">
        <v>18</v>
      </c>
      <c r="L47">
        <v>10000</v>
      </c>
      <c r="M47" t="s">
        <v>765</v>
      </c>
      <c r="N47">
        <v>2</v>
      </c>
      <c r="O47" s="2">
        <v>46054</v>
      </c>
    </row>
    <row r="48" spans="1:15" x14ac:dyDescent="0.3">
      <c r="A48" t="s">
        <v>326</v>
      </c>
      <c r="B48" s="2">
        <v>46137</v>
      </c>
      <c r="C48" t="s">
        <v>33</v>
      </c>
      <c r="D48" t="s">
        <v>26</v>
      </c>
      <c r="E48" t="s">
        <v>15</v>
      </c>
      <c r="F48" t="s">
        <v>146</v>
      </c>
      <c r="G48">
        <v>5</v>
      </c>
      <c r="H48">
        <v>2500</v>
      </c>
      <c r="I48">
        <v>20</v>
      </c>
      <c r="J48" t="s">
        <v>764</v>
      </c>
      <c r="K48" t="s">
        <v>18</v>
      </c>
      <c r="L48">
        <v>10000</v>
      </c>
      <c r="M48" t="s">
        <v>768</v>
      </c>
      <c r="N48">
        <v>4</v>
      </c>
      <c r="O48" s="2">
        <v>46113</v>
      </c>
    </row>
    <row r="49" spans="1:15" x14ac:dyDescent="0.3">
      <c r="A49" t="s">
        <v>718</v>
      </c>
      <c r="B49" s="2">
        <v>46137</v>
      </c>
      <c r="C49" t="s">
        <v>179</v>
      </c>
      <c r="D49" t="s">
        <v>40</v>
      </c>
      <c r="E49" t="s">
        <v>15</v>
      </c>
      <c r="F49" t="s">
        <v>146</v>
      </c>
      <c r="G49">
        <v>4</v>
      </c>
      <c r="H49">
        <v>2500</v>
      </c>
      <c r="I49">
        <v>0</v>
      </c>
      <c r="J49" t="s">
        <v>764</v>
      </c>
      <c r="K49" t="s">
        <v>18</v>
      </c>
      <c r="L49">
        <v>10000</v>
      </c>
      <c r="M49" t="s">
        <v>768</v>
      </c>
      <c r="N49">
        <v>4</v>
      </c>
      <c r="O49" s="2">
        <v>46113</v>
      </c>
    </row>
    <row r="50" spans="1:15" x14ac:dyDescent="0.3">
      <c r="A50" t="s">
        <v>396</v>
      </c>
      <c r="B50" s="2">
        <v>46175</v>
      </c>
      <c r="C50" t="s">
        <v>99</v>
      </c>
      <c r="D50" t="s">
        <v>40</v>
      </c>
      <c r="E50" t="s">
        <v>15</v>
      </c>
      <c r="F50" t="s">
        <v>146</v>
      </c>
      <c r="G50">
        <v>5</v>
      </c>
      <c r="H50">
        <v>2500</v>
      </c>
      <c r="I50">
        <v>20</v>
      </c>
      <c r="J50" t="s">
        <v>55</v>
      </c>
      <c r="K50" t="s">
        <v>22</v>
      </c>
      <c r="L50">
        <v>10000</v>
      </c>
      <c r="M50" t="s">
        <v>770</v>
      </c>
      <c r="N50">
        <v>6</v>
      </c>
      <c r="O50" s="2">
        <v>46174</v>
      </c>
    </row>
    <row r="51" spans="1:15" x14ac:dyDescent="0.3">
      <c r="A51" t="s">
        <v>279</v>
      </c>
      <c r="B51" s="2">
        <v>46150</v>
      </c>
      <c r="C51" t="s">
        <v>84</v>
      </c>
      <c r="D51" t="s">
        <v>26</v>
      </c>
      <c r="E51" t="s">
        <v>15</v>
      </c>
      <c r="F51" t="s">
        <v>73</v>
      </c>
      <c r="G51">
        <v>5</v>
      </c>
      <c r="H51">
        <v>2200</v>
      </c>
      <c r="I51">
        <v>10</v>
      </c>
      <c r="J51" t="s">
        <v>29</v>
      </c>
      <c r="K51" t="s">
        <v>18</v>
      </c>
      <c r="L51">
        <v>9900</v>
      </c>
      <c r="M51" t="s">
        <v>769</v>
      </c>
      <c r="N51">
        <v>5</v>
      </c>
      <c r="O51" s="2">
        <v>46143</v>
      </c>
    </row>
    <row r="52" spans="1:15" x14ac:dyDescent="0.3">
      <c r="A52" t="s">
        <v>56</v>
      </c>
      <c r="B52" s="2">
        <v>46120</v>
      </c>
      <c r="C52" t="s">
        <v>39</v>
      </c>
      <c r="D52" t="s">
        <v>14</v>
      </c>
      <c r="E52" t="s">
        <v>49</v>
      </c>
      <c r="F52" t="s">
        <v>58</v>
      </c>
      <c r="G52">
        <v>3</v>
      </c>
      <c r="H52">
        <v>3200</v>
      </c>
      <c r="I52">
        <v>0</v>
      </c>
      <c r="J52" t="s">
        <v>55</v>
      </c>
      <c r="K52" t="s">
        <v>36</v>
      </c>
      <c r="L52">
        <v>9600</v>
      </c>
      <c r="M52" t="s">
        <v>768</v>
      </c>
      <c r="N52">
        <v>4</v>
      </c>
      <c r="O52" s="2">
        <v>46113</v>
      </c>
    </row>
    <row r="53" spans="1:15" x14ac:dyDescent="0.3">
      <c r="A53" t="s">
        <v>451</v>
      </c>
      <c r="B53" s="2">
        <v>46103</v>
      </c>
      <c r="C53" t="s">
        <v>109</v>
      </c>
      <c r="D53" t="s">
        <v>14</v>
      </c>
      <c r="E53" t="s">
        <v>15</v>
      </c>
      <c r="F53" t="s">
        <v>146</v>
      </c>
      <c r="G53">
        <v>4</v>
      </c>
      <c r="H53">
        <v>2500</v>
      </c>
      <c r="I53">
        <v>5</v>
      </c>
      <c r="J53" t="s">
        <v>29</v>
      </c>
      <c r="K53" t="s">
        <v>18</v>
      </c>
      <c r="L53">
        <v>9500</v>
      </c>
      <c r="M53" t="s">
        <v>767</v>
      </c>
      <c r="N53">
        <v>3</v>
      </c>
      <c r="O53" s="2">
        <v>46082</v>
      </c>
    </row>
    <row r="54" spans="1:15" x14ac:dyDescent="0.3">
      <c r="A54" t="s">
        <v>745</v>
      </c>
      <c r="B54" s="2">
        <v>46077</v>
      </c>
      <c r="C54" t="s">
        <v>154</v>
      </c>
      <c r="D54" t="s">
        <v>26</v>
      </c>
      <c r="E54" t="s">
        <v>34</v>
      </c>
      <c r="F54" t="s">
        <v>35</v>
      </c>
      <c r="G54">
        <v>3</v>
      </c>
      <c r="H54">
        <v>3500</v>
      </c>
      <c r="I54">
        <v>10</v>
      </c>
      <c r="J54" t="s">
        <v>51</v>
      </c>
      <c r="K54" t="s">
        <v>22</v>
      </c>
      <c r="L54">
        <v>9450</v>
      </c>
      <c r="M54" t="s">
        <v>765</v>
      </c>
      <c r="N54">
        <v>2</v>
      </c>
      <c r="O54" s="2">
        <v>46054</v>
      </c>
    </row>
    <row r="55" spans="1:15" x14ac:dyDescent="0.3">
      <c r="A55" t="s">
        <v>426</v>
      </c>
      <c r="B55" s="2">
        <v>46062</v>
      </c>
      <c r="C55" t="s">
        <v>71</v>
      </c>
      <c r="D55" t="s">
        <v>26</v>
      </c>
      <c r="E55" t="s">
        <v>27</v>
      </c>
      <c r="F55" t="s">
        <v>128</v>
      </c>
      <c r="G55">
        <v>5</v>
      </c>
      <c r="H55">
        <v>1800</v>
      </c>
      <c r="I55">
        <v>0</v>
      </c>
      <c r="J55" t="s">
        <v>766</v>
      </c>
      <c r="K55" t="s">
        <v>36</v>
      </c>
      <c r="L55">
        <v>9000</v>
      </c>
      <c r="M55" t="s">
        <v>765</v>
      </c>
      <c r="N55">
        <v>2</v>
      </c>
      <c r="O55" s="2">
        <v>46054</v>
      </c>
    </row>
    <row r="56" spans="1:15" x14ac:dyDescent="0.3">
      <c r="A56" t="s">
        <v>416</v>
      </c>
      <c r="B56" s="2">
        <v>46041</v>
      </c>
      <c r="C56" t="s">
        <v>25</v>
      </c>
      <c r="D56" t="s">
        <v>14</v>
      </c>
      <c r="E56" t="s">
        <v>15</v>
      </c>
      <c r="F56" t="s">
        <v>73</v>
      </c>
      <c r="G56">
        <v>4</v>
      </c>
      <c r="H56">
        <v>2200</v>
      </c>
      <c r="I56">
        <v>0</v>
      </c>
      <c r="J56" t="s">
        <v>51</v>
      </c>
      <c r="K56" t="s">
        <v>30</v>
      </c>
      <c r="L56">
        <v>8800</v>
      </c>
      <c r="M56" t="s">
        <v>763</v>
      </c>
      <c r="N56">
        <v>1</v>
      </c>
      <c r="O56" s="2">
        <v>46023</v>
      </c>
    </row>
    <row r="57" spans="1:15" x14ac:dyDescent="0.3">
      <c r="A57" t="s">
        <v>158</v>
      </c>
      <c r="B57" s="2">
        <v>46063</v>
      </c>
      <c r="C57" t="s">
        <v>159</v>
      </c>
      <c r="D57" t="s">
        <v>40</v>
      </c>
      <c r="E57" t="s">
        <v>49</v>
      </c>
      <c r="F57" t="s">
        <v>50</v>
      </c>
      <c r="G57">
        <v>4</v>
      </c>
      <c r="H57">
        <v>2200</v>
      </c>
      <c r="I57">
        <v>0</v>
      </c>
      <c r="J57" t="s">
        <v>29</v>
      </c>
      <c r="K57" t="s">
        <v>22</v>
      </c>
      <c r="L57">
        <v>8800</v>
      </c>
      <c r="M57" t="s">
        <v>765</v>
      </c>
      <c r="N57">
        <v>2</v>
      </c>
      <c r="O57" s="2">
        <v>46054</v>
      </c>
    </row>
    <row r="58" spans="1:15" x14ac:dyDescent="0.3">
      <c r="A58" t="s">
        <v>386</v>
      </c>
      <c r="B58" s="2">
        <v>46138</v>
      </c>
      <c r="C58" t="s">
        <v>95</v>
      </c>
      <c r="D58" t="s">
        <v>14</v>
      </c>
      <c r="E58" t="s">
        <v>49</v>
      </c>
      <c r="F58" t="s">
        <v>50</v>
      </c>
      <c r="G58">
        <v>4</v>
      </c>
      <c r="H58">
        <v>2200</v>
      </c>
      <c r="I58">
        <v>0</v>
      </c>
      <c r="J58" t="s">
        <v>55</v>
      </c>
      <c r="K58" t="s">
        <v>18</v>
      </c>
      <c r="L58">
        <v>8800</v>
      </c>
      <c r="M58" t="s">
        <v>768</v>
      </c>
      <c r="N58">
        <v>4</v>
      </c>
      <c r="O58" s="2">
        <v>46113</v>
      </c>
    </row>
    <row r="59" spans="1:15" x14ac:dyDescent="0.3">
      <c r="A59" t="s">
        <v>274</v>
      </c>
      <c r="B59" s="2">
        <v>46155</v>
      </c>
      <c r="C59" t="s">
        <v>54</v>
      </c>
      <c r="D59" t="s">
        <v>72</v>
      </c>
      <c r="E59" t="s">
        <v>15</v>
      </c>
      <c r="F59" t="s">
        <v>73</v>
      </c>
      <c r="G59">
        <v>4</v>
      </c>
      <c r="H59">
        <v>2200</v>
      </c>
      <c r="I59">
        <v>0</v>
      </c>
      <c r="J59" t="s">
        <v>55</v>
      </c>
      <c r="K59" t="s">
        <v>30</v>
      </c>
      <c r="L59">
        <v>8800</v>
      </c>
      <c r="M59" t="s">
        <v>769</v>
      </c>
      <c r="N59">
        <v>5</v>
      </c>
      <c r="O59" s="2">
        <v>46143</v>
      </c>
    </row>
    <row r="60" spans="1:15" x14ac:dyDescent="0.3">
      <c r="A60" t="s">
        <v>261</v>
      </c>
      <c r="B60" s="2">
        <v>46175</v>
      </c>
      <c r="C60" t="s">
        <v>88</v>
      </c>
      <c r="D60" t="s">
        <v>26</v>
      </c>
      <c r="E60" t="s">
        <v>49</v>
      </c>
      <c r="F60" t="s">
        <v>50</v>
      </c>
      <c r="G60">
        <v>4</v>
      </c>
      <c r="H60">
        <v>2200</v>
      </c>
      <c r="I60">
        <v>0</v>
      </c>
      <c r="J60" t="s">
        <v>29</v>
      </c>
      <c r="K60" t="s">
        <v>30</v>
      </c>
      <c r="L60">
        <v>8800</v>
      </c>
      <c r="M60" t="s">
        <v>770</v>
      </c>
      <c r="N60">
        <v>6</v>
      </c>
      <c r="O60" s="2">
        <v>46174</v>
      </c>
    </row>
    <row r="61" spans="1:15" x14ac:dyDescent="0.3">
      <c r="A61" t="s">
        <v>458</v>
      </c>
      <c r="B61" s="2">
        <v>46084</v>
      </c>
      <c r="C61" t="s">
        <v>13</v>
      </c>
      <c r="D61" t="s">
        <v>40</v>
      </c>
      <c r="E61" t="s">
        <v>27</v>
      </c>
      <c r="F61" t="s">
        <v>128</v>
      </c>
      <c r="G61">
        <v>5</v>
      </c>
      <c r="H61">
        <v>1800</v>
      </c>
      <c r="I61">
        <v>5</v>
      </c>
      <c r="J61" t="s">
        <v>55</v>
      </c>
      <c r="K61" t="s">
        <v>36</v>
      </c>
      <c r="L61">
        <v>8550</v>
      </c>
      <c r="M61" t="s">
        <v>767</v>
      </c>
      <c r="N61">
        <v>3</v>
      </c>
      <c r="O61" s="2">
        <v>46082</v>
      </c>
    </row>
    <row r="62" spans="1:15" x14ac:dyDescent="0.3">
      <c r="A62" t="s">
        <v>508</v>
      </c>
      <c r="B62" s="2">
        <v>46107</v>
      </c>
      <c r="C62" t="s">
        <v>13</v>
      </c>
      <c r="D62" t="s">
        <v>72</v>
      </c>
      <c r="E62" t="s">
        <v>49</v>
      </c>
      <c r="F62" t="s">
        <v>157</v>
      </c>
      <c r="G62">
        <v>5</v>
      </c>
      <c r="H62">
        <v>1800</v>
      </c>
      <c r="I62">
        <v>5</v>
      </c>
      <c r="J62" t="s">
        <v>29</v>
      </c>
      <c r="K62" t="s">
        <v>30</v>
      </c>
      <c r="L62">
        <v>8550</v>
      </c>
      <c r="M62" t="s">
        <v>767</v>
      </c>
      <c r="N62">
        <v>3</v>
      </c>
      <c r="O62" s="2">
        <v>46082</v>
      </c>
    </row>
    <row r="63" spans="1:15" x14ac:dyDescent="0.3">
      <c r="A63" t="s">
        <v>417</v>
      </c>
      <c r="B63" s="2">
        <v>46161</v>
      </c>
      <c r="C63" t="s">
        <v>122</v>
      </c>
      <c r="D63" t="s">
        <v>26</v>
      </c>
      <c r="E63" t="s">
        <v>15</v>
      </c>
      <c r="F63" t="s">
        <v>45</v>
      </c>
      <c r="G63">
        <v>2</v>
      </c>
      <c r="H63">
        <v>4500</v>
      </c>
      <c r="I63">
        <v>5</v>
      </c>
      <c r="J63" t="s">
        <v>51</v>
      </c>
      <c r="K63" t="s">
        <v>22</v>
      </c>
      <c r="L63">
        <v>8550</v>
      </c>
      <c r="M63" t="s">
        <v>769</v>
      </c>
      <c r="N63">
        <v>5</v>
      </c>
      <c r="O63" s="2">
        <v>46143</v>
      </c>
    </row>
    <row r="64" spans="1:15" x14ac:dyDescent="0.3">
      <c r="A64" t="s">
        <v>624</v>
      </c>
      <c r="B64" s="2">
        <v>46035</v>
      </c>
      <c r="C64" t="s">
        <v>71</v>
      </c>
      <c r="D64" t="s">
        <v>72</v>
      </c>
      <c r="E64" t="s">
        <v>15</v>
      </c>
      <c r="F64" t="s">
        <v>146</v>
      </c>
      <c r="G64">
        <v>4</v>
      </c>
      <c r="H64">
        <v>2500</v>
      </c>
      <c r="I64">
        <v>15</v>
      </c>
      <c r="J64" t="s">
        <v>764</v>
      </c>
      <c r="K64" t="s">
        <v>18</v>
      </c>
      <c r="L64">
        <v>8500</v>
      </c>
      <c r="M64" t="s">
        <v>763</v>
      </c>
      <c r="N64">
        <v>1</v>
      </c>
      <c r="O64" s="2">
        <v>46023</v>
      </c>
    </row>
    <row r="65" spans="1:15" x14ac:dyDescent="0.3">
      <c r="A65" t="s">
        <v>590</v>
      </c>
      <c r="B65" s="2">
        <v>46122</v>
      </c>
      <c r="C65" t="s">
        <v>48</v>
      </c>
      <c r="D65" t="s">
        <v>72</v>
      </c>
      <c r="E65" t="s">
        <v>34</v>
      </c>
      <c r="F65" t="s">
        <v>35</v>
      </c>
      <c r="G65">
        <v>3</v>
      </c>
      <c r="H65">
        <v>3500</v>
      </c>
      <c r="I65">
        <v>20</v>
      </c>
      <c r="J65" t="s">
        <v>55</v>
      </c>
      <c r="K65" t="s">
        <v>18</v>
      </c>
      <c r="L65">
        <v>8400</v>
      </c>
      <c r="M65" t="s">
        <v>768</v>
      </c>
      <c r="N65">
        <v>4</v>
      </c>
      <c r="O65" s="2">
        <v>46113</v>
      </c>
    </row>
    <row r="66" spans="1:15" x14ac:dyDescent="0.3">
      <c r="A66" t="s">
        <v>475</v>
      </c>
      <c r="B66" s="2">
        <v>46145</v>
      </c>
      <c r="C66" t="s">
        <v>105</v>
      </c>
      <c r="D66" t="s">
        <v>72</v>
      </c>
      <c r="E66" t="s">
        <v>49</v>
      </c>
      <c r="F66" t="s">
        <v>157</v>
      </c>
      <c r="G66">
        <v>5</v>
      </c>
      <c r="H66">
        <v>1800</v>
      </c>
      <c r="I66">
        <v>10</v>
      </c>
      <c r="J66" t="s">
        <v>29</v>
      </c>
      <c r="K66" t="s">
        <v>18</v>
      </c>
      <c r="L66">
        <v>8100</v>
      </c>
      <c r="M66" t="s">
        <v>769</v>
      </c>
      <c r="N66">
        <v>5</v>
      </c>
      <c r="O66" s="2">
        <v>46143</v>
      </c>
    </row>
    <row r="67" spans="1:15" x14ac:dyDescent="0.3">
      <c r="A67" t="s">
        <v>481</v>
      </c>
      <c r="B67" s="2">
        <v>46056</v>
      </c>
      <c r="C67" t="s">
        <v>166</v>
      </c>
      <c r="D67" t="s">
        <v>72</v>
      </c>
      <c r="E67" t="s">
        <v>15</v>
      </c>
      <c r="F67" t="s">
        <v>146</v>
      </c>
      <c r="G67">
        <v>4</v>
      </c>
      <c r="H67">
        <v>2500</v>
      </c>
      <c r="I67">
        <v>20</v>
      </c>
      <c r="J67" t="s">
        <v>764</v>
      </c>
      <c r="K67" t="s">
        <v>18</v>
      </c>
      <c r="L67">
        <v>8000</v>
      </c>
      <c r="M67" t="s">
        <v>765</v>
      </c>
      <c r="N67">
        <v>2</v>
      </c>
      <c r="O67" s="2">
        <v>46054</v>
      </c>
    </row>
    <row r="68" spans="1:15" x14ac:dyDescent="0.3">
      <c r="A68" t="s">
        <v>272</v>
      </c>
      <c r="B68" s="2">
        <v>46105</v>
      </c>
      <c r="C68" t="s">
        <v>142</v>
      </c>
      <c r="D68" t="s">
        <v>72</v>
      </c>
      <c r="E68" t="s">
        <v>34</v>
      </c>
      <c r="F68" t="s">
        <v>41</v>
      </c>
      <c r="G68">
        <v>5</v>
      </c>
      <c r="H68">
        <v>1600</v>
      </c>
      <c r="I68">
        <v>0</v>
      </c>
      <c r="J68" t="s">
        <v>29</v>
      </c>
      <c r="K68" t="s">
        <v>18</v>
      </c>
      <c r="L68">
        <v>8000</v>
      </c>
      <c r="M68" t="s">
        <v>767</v>
      </c>
      <c r="N68">
        <v>3</v>
      </c>
      <c r="O68" s="2">
        <v>46082</v>
      </c>
    </row>
    <row r="69" spans="1:15" x14ac:dyDescent="0.3">
      <c r="A69" t="s">
        <v>372</v>
      </c>
      <c r="B69" s="2">
        <v>46122</v>
      </c>
      <c r="C69" t="s">
        <v>109</v>
      </c>
      <c r="D69" t="s">
        <v>26</v>
      </c>
      <c r="E69" t="s">
        <v>34</v>
      </c>
      <c r="F69" t="s">
        <v>41</v>
      </c>
      <c r="G69">
        <v>5</v>
      </c>
      <c r="H69">
        <v>1600</v>
      </c>
      <c r="I69">
        <v>0</v>
      </c>
      <c r="J69" t="s">
        <v>51</v>
      </c>
      <c r="K69" t="s">
        <v>36</v>
      </c>
      <c r="L69">
        <v>8000</v>
      </c>
      <c r="M69" t="s">
        <v>768</v>
      </c>
      <c r="N69">
        <v>4</v>
      </c>
      <c r="O69" s="2">
        <v>46113</v>
      </c>
    </row>
    <row r="70" spans="1:15" x14ac:dyDescent="0.3">
      <c r="A70" t="s">
        <v>379</v>
      </c>
      <c r="B70" s="2">
        <v>46116</v>
      </c>
      <c r="C70" t="s">
        <v>154</v>
      </c>
      <c r="D70" t="s">
        <v>14</v>
      </c>
      <c r="E70" t="s">
        <v>15</v>
      </c>
      <c r="F70" t="s">
        <v>146</v>
      </c>
      <c r="G70">
        <v>4</v>
      </c>
      <c r="H70">
        <v>2500</v>
      </c>
      <c r="I70">
        <v>20</v>
      </c>
      <c r="J70" t="s">
        <v>51</v>
      </c>
      <c r="K70" t="s">
        <v>18</v>
      </c>
      <c r="L70">
        <v>8000</v>
      </c>
      <c r="M70" t="s">
        <v>768</v>
      </c>
      <c r="N70">
        <v>4</v>
      </c>
      <c r="O70" s="2">
        <v>46113</v>
      </c>
    </row>
    <row r="71" spans="1:15" x14ac:dyDescent="0.3">
      <c r="A71" t="s">
        <v>639</v>
      </c>
      <c r="B71" s="2">
        <v>46067</v>
      </c>
      <c r="C71" t="s">
        <v>176</v>
      </c>
      <c r="D71" t="s">
        <v>26</v>
      </c>
      <c r="E71" t="s">
        <v>49</v>
      </c>
      <c r="F71" t="s">
        <v>351</v>
      </c>
      <c r="G71">
        <v>3</v>
      </c>
      <c r="H71">
        <v>2800</v>
      </c>
      <c r="I71">
        <v>5</v>
      </c>
      <c r="J71" t="s">
        <v>55</v>
      </c>
      <c r="K71" t="s">
        <v>36</v>
      </c>
      <c r="L71">
        <v>7980</v>
      </c>
      <c r="M71" t="s">
        <v>765</v>
      </c>
      <c r="N71">
        <v>2</v>
      </c>
      <c r="O71" s="2">
        <v>46054</v>
      </c>
    </row>
    <row r="72" spans="1:15" x14ac:dyDescent="0.3">
      <c r="A72" t="s">
        <v>498</v>
      </c>
      <c r="B72" s="2">
        <v>46144</v>
      </c>
      <c r="C72" t="s">
        <v>13</v>
      </c>
      <c r="D72" t="s">
        <v>14</v>
      </c>
      <c r="E72" t="s">
        <v>49</v>
      </c>
      <c r="F72" t="s">
        <v>351</v>
      </c>
      <c r="G72">
        <v>3</v>
      </c>
      <c r="H72">
        <v>2800</v>
      </c>
      <c r="I72">
        <v>5</v>
      </c>
      <c r="J72" t="s">
        <v>29</v>
      </c>
      <c r="K72" t="s">
        <v>36</v>
      </c>
      <c r="L72">
        <v>7980</v>
      </c>
      <c r="M72" t="s">
        <v>769</v>
      </c>
      <c r="N72">
        <v>5</v>
      </c>
      <c r="O72" s="2">
        <v>46143</v>
      </c>
    </row>
    <row r="73" spans="1:15" x14ac:dyDescent="0.3">
      <c r="A73" t="s">
        <v>686</v>
      </c>
      <c r="B73" s="2">
        <v>46113</v>
      </c>
      <c r="C73" t="s">
        <v>13</v>
      </c>
      <c r="D73" t="s">
        <v>26</v>
      </c>
      <c r="E73" t="s">
        <v>15</v>
      </c>
      <c r="F73" t="s">
        <v>73</v>
      </c>
      <c r="G73">
        <v>4</v>
      </c>
      <c r="H73">
        <v>2200</v>
      </c>
      <c r="I73">
        <v>10</v>
      </c>
      <c r="J73" t="s">
        <v>51</v>
      </c>
      <c r="K73" t="s">
        <v>30</v>
      </c>
      <c r="L73">
        <v>7920</v>
      </c>
      <c r="M73" t="s">
        <v>768</v>
      </c>
      <c r="N73">
        <v>4</v>
      </c>
      <c r="O73" s="2">
        <v>46113</v>
      </c>
    </row>
    <row r="74" spans="1:15" x14ac:dyDescent="0.3">
      <c r="A74" t="s">
        <v>205</v>
      </c>
      <c r="B74" s="2">
        <v>46134</v>
      </c>
      <c r="C74" t="s">
        <v>196</v>
      </c>
      <c r="D74" t="s">
        <v>40</v>
      </c>
      <c r="E74" t="s">
        <v>49</v>
      </c>
      <c r="F74" t="s">
        <v>50</v>
      </c>
      <c r="G74">
        <v>4</v>
      </c>
      <c r="H74">
        <v>2200</v>
      </c>
      <c r="I74">
        <v>10</v>
      </c>
      <c r="J74" t="s">
        <v>29</v>
      </c>
      <c r="K74" t="s">
        <v>22</v>
      </c>
      <c r="L74">
        <v>7920</v>
      </c>
      <c r="M74" t="s">
        <v>768</v>
      </c>
      <c r="N74">
        <v>4</v>
      </c>
      <c r="O74" s="2">
        <v>46113</v>
      </c>
    </row>
    <row r="75" spans="1:15" x14ac:dyDescent="0.3">
      <c r="A75" t="s">
        <v>313</v>
      </c>
      <c r="B75" s="2">
        <v>46160</v>
      </c>
      <c r="C75" t="s">
        <v>105</v>
      </c>
      <c r="D75" t="s">
        <v>72</v>
      </c>
      <c r="E75" t="s">
        <v>15</v>
      </c>
      <c r="F75" t="s">
        <v>73</v>
      </c>
      <c r="G75">
        <v>4</v>
      </c>
      <c r="H75">
        <v>2200</v>
      </c>
      <c r="I75">
        <v>10</v>
      </c>
      <c r="J75" t="s">
        <v>29</v>
      </c>
      <c r="K75" t="s">
        <v>22</v>
      </c>
      <c r="L75">
        <v>7920</v>
      </c>
      <c r="M75" t="s">
        <v>769</v>
      </c>
      <c r="N75">
        <v>5</v>
      </c>
      <c r="O75" s="2">
        <v>46143</v>
      </c>
    </row>
    <row r="76" spans="1:15" x14ac:dyDescent="0.3">
      <c r="A76" t="s">
        <v>453</v>
      </c>
      <c r="B76" s="2">
        <v>46159</v>
      </c>
      <c r="C76" t="s">
        <v>179</v>
      </c>
      <c r="D76" t="s">
        <v>26</v>
      </c>
      <c r="E76" t="s">
        <v>49</v>
      </c>
      <c r="F76" t="s">
        <v>58</v>
      </c>
      <c r="G76">
        <v>3</v>
      </c>
      <c r="H76">
        <v>3200</v>
      </c>
      <c r="I76">
        <v>20</v>
      </c>
      <c r="J76" t="s">
        <v>29</v>
      </c>
      <c r="K76" t="s">
        <v>22</v>
      </c>
      <c r="L76">
        <v>7680</v>
      </c>
      <c r="M76" t="s">
        <v>769</v>
      </c>
      <c r="N76">
        <v>5</v>
      </c>
      <c r="O76" s="2">
        <v>46143</v>
      </c>
    </row>
    <row r="77" spans="1:15" x14ac:dyDescent="0.3">
      <c r="A77" t="s">
        <v>283</v>
      </c>
      <c r="B77" s="2">
        <v>46160</v>
      </c>
      <c r="C77" t="s">
        <v>196</v>
      </c>
      <c r="D77" t="s">
        <v>26</v>
      </c>
      <c r="E77" t="s">
        <v>49</v>
      </c>
      <c r="F77" t="s">
        <v>58</v>
      </c>
      <c r="G77">
        <v>3</v>
      </c>
      <c r="H77">
        <v>3200</v>
      </c>
      <c r="I77">
        <v>20</v>
      </c>
      <c r="J77" t="s">
        <v>29</v>
      </c>
      <c r="K77" t="s">
        <v>18</v>
      </c>
      <c r="L77">
        <v>7680</v>
      </c>
      <c r="M77" t="s">
        <v>769</v>
      </c>
      <c r="N77">
        <v>5</v>
      </c>
      <c r="O77" s="2">
        <v>46143</v>
      </c>
    </row>
    <row r="78" spans="1:15" x14ac:dyDescent="0.3">
      <c r="A78" t="s">
        <v>689</v>
      </c>
      <c r="B78" s="2">
        <v>46074</v>
      </c>
      <c r="C78" t="s">
        <v>179</v>
      </c>
      <c r="D78" t="s">
        <v>72</v>
      </c>
      <c r="E78" t="s">
        <v>49</v>
      </c>
      <c r="F78" t="s">
        <v>157</v>
      </c>
      <c r="G78">
        <v>5</v>
      </c>
      <c r="H78">
        <v>1800</v>
      </c>
      <c r="I78">
        <v>15</v>
      </c>
      <c r="J78" t="s">
        <v>55</v>
      </c>
      <c r="K78" t="s">
        <v>30</v>
      </c>
      <c r="L78">
        <v>7650</v>
      </c>
      <c r="M78" t="s">
        <v>765</v>
      </c>
      <c r="N78">
        <v>2</v>
      </c>
      <c r="O78" s="2">
        <v>46054</v>
      </c>
    </row>
    <row r="79" spans="1:15" x14ac:dyDescent="0.3">
      <c r="A79" t="s">
        <v>463</v>
      </c>
      <c r="B79" s="2">
        <v>46082</v>
      </c>
      <c r="C79" t="s">
        <v>99</v>
      </c>
      <c r="D79" t="s">
        <v>40</v>
      </c>
      <c r="E79" t="s">
        <v>15</v>
      </c>
      <c r="F79" t="s">
        <v>45</v>
      </c>
      <c r="G79">
        <v>2</v>
      </c>
      <c r="H79">
        <v>4500</v>
      </c>
      <c r="I79">
        <v>15</v>
      </c>
      <c r="J79" t="s">
        <v>55</v>
      </c>
      <c r="K79" t="s">
        <v>36</v>
      </c>
      <c r="L79">
        <v>7650</v>
      </c>
      <c r="M79" t="s">
        <v>767</v>
      </c>
      <c r="N79">
        <v>3</v>
      </c>
      <c r="O79" s="2">
        <v>46082</v>
      </c>
    </row>
    <row r="80" spans="1:15" x14ac:dyDescent="0.3">
      <c r="A80" t="s">
        <v>537</v>
      </c>
      <c r="B80" s="2">
        <v>46200</v>
      </c>
      <c r="C80" t="s">
        <v>249</v>
      </c>
      <c r="D80" t="s">
        <v>72</v>
      </c>
      <c r="E80" t="s">
        <v>34</v>
      </c>
      <c r="F80" t="s">
        <v>41</v>
      </c>
      <c r="G80">
        <v>5</v>
      </c>
      <c r="H80">
        <v>1600</v>
      </c>
      <c r="I80">
        <v>5</v>
      </c>
      <c r="J80" t="s">
        <v>51</v>
      </c>
      <c r="K80" t="s">
        <v>18</v>
      </c>
      <c r="L80">
        <v>7600</v>
      </c>
      <c r="M80" t="s">
        <v>770</v>
      </c>
      <c r="N80">
        <v>6</v>
      </c>
      <c r="O80" s="2">
        <v>46174</v>
      </c>
    </row>
    <row r="81" spans="1:15" x14ac:dyDescent="0.3">
      <c r="A81" t="s">
        <v>269</v>
      </c>
      <c r="B81" s="2">
        <v>46112</v>
      </c>
      <c r="C81" t="s">
        <v>109</v>
      </c>
      <c r="D81" t="s">
        <v>26</v>
      </c>
      <c r="E81" t="s">
        <v>15</v>
      </c>
      <c r="F81" t="s">
        <v>146</v>
      </c>
      <c r="G81">
        <v>3</v>
      </c>
      <c r="H81">
        <v>2500</v>
      </c>
      <c r="I81">
        <v>0</v>
      </c>
      <c r="J81" t="s">
        <v>55</v>
      </c>
      <c r="K81" t="s">
        <v>30</v>
      </c>
      <c r="L81">
        <v>7500</v>
      </c>
      <c r="M81" t="s">
        <v>767</v>
      </c>
      <c r="N81">
        <v>3</v>
      </c>
      <c r="O81" s="2">
        <v>46082</v>
      </c>
    </row>
    <row r="82" spans="1:15" x14ac:dyDescent="0.3">
      <c r="A82" t="s">
        <v>519</v>
      </c>
      <c r="B82" s="2">
        <v>46198</v>
      </c>
      <c r="C82" t="s">
        <v>84</v>
      </c>
      <c r="D82" t="s">
        <v>26</v>
      </c>
      <c r="E82" t="s">
        <v>15</v>
      </c>
      <c r="F82" t="s">
        <v>16</v>
      </c>
      <c r="G82">
        <v>5</v>
      </c>
      <c r="H82">
        <v>1500</v>
      </c>
      <c r="I82">
        <v>0</v>
      </c>
      <c r="J82" t="s">
        <v>764</v>
      </c>
      <c r="K82" t="s">
        <v>22</v>
      </c>
      <c r="L82">
        <v>7500</v>
      </c>
      <c r="M82" t="s">
        <v>770</v>
      </c>
      <c r="N82">
        <v>6</v>
      </c>
      <c r="O82" s="2">
        <v>46174</v>
      </c>
    </row>
    <row r="83" spans="1:15" x14ac:dyDescent="0.3">
      <c r="A83" t="s">
        <v>433</v>
      </c>
      <c r="B83" s="2">
        <v>46050</v>
      </c>
      <c r="C83" t="s">
        <v>179</v>
      </c>
      <c r="D83" t="s">
        <v>14</v>
      </c>
      <c r="E83" t="s">
        <v>27</v>
      </c>
      <c r="F83" t="s">
        <v>128</v>
      </c>
      <c r="G83">
        <v>4</v>
      </c>
      <c r="H83">
        <v>1800</v>
      </c>
      <c r="I83">
        <v>0</v>
      </c>
      <c r="J83" t="s">
        <v>51</v>
      </c>
      <c r="K83" t="s">
        <v>18</v>
      </c>
      <c r="L83">
        <v>7200</v>
      </c>
      <c r="M83" t="s">
        <v>763</v>
      </c>
      <c r="N83">
        <v>1</v>
      </c>
      <c r="O83" s="2">
        <v>46023</v>
      </c>
    </row>
    <row r="84" spans="1:15" x14ac:dyDescent="0.3">
      <c r="A84" t="s">
        <v>747</v>
      </c>
      <c r="B84" s="2">
        <v>46085</v>
      </c>
      <c r="C84" t="s">
        <v>117</v>
      </c>
      <c r="D84" t="s">
        <v>26</v>
      </c>
      <c r="E84" t="s">
        <v>27</v>
      </c>
      <c r="F84" t="s">
        <v>128</v>
      </c>
      <c r="G84">
        <v>4</v>
      </c>
      <c r="H84">
        <v>1800</v>
      </c>
      <c r="I84">
        <v>0</v>
      </c>
      <c r="J84" t="s">
        <v>29</v>
      </c>
      <c r="K84" t="s">
        <v>30</v>
      </c>
      <c r="L84">
        <v>7200</v>
      </c>
      <c r="M84" t="s">
        <v>767</v>
      </c>
      <c r="N84">
        <v>3</v>
      </c>
      <c r="O84" s="2">
        <v>46082</v>
      </c>
    </row>
    <row r="85" spans="1:15" x14ac:dyDescent="0.3">
      <c r="A85" t="s">
        <v>415</v>
      </c>
      <c r="B85" s="2">
        <v>46203</v>
      </c>
      <c r="C85" t="s">
        <v>25</v>
      </c>
      <c r="D85" t="s">
        <v>14</v>
      </c>
      <c r="E85" t="s">
        <v>34</v>
      </c>
      <c r="F85" t="s">
        <v>41</v>
      </c>
      <c r="G85">
        <v>5</v>
      </c>
      <c r="H85">
        <v>1600</v>
      </c>
      <c r="I85">
        <v>10</v>
      </c>
      <c r="J85" t="s">
        <v>29</v>
      </c>
      <c r="K85" t="s">
        <v>22</v>
      </c>
      <c r="L85">
        <v>7200</v>
      </c>
      <c r="M85" t="s">
        <v>770</v>
      </c>
      <c r="N85">
        <v>6</v>
      </c>
      <c r="O85" s="2">
        <v>46174</v>
      </c>
    </row>
    <row r="86" spans="1:15" x14ac:dyDescent="0.3">
      <c r="A86" t="s">
        <v>438</v>
      </c>
      <c r="B86" s="2">
        <v>46113</v>
      </c>
      <c r="C86" t="s">
        <v>117</v>
      </c>
      <c r="D86" t="s">
        <v>40</v>
      </c>
      <c r="E86" t="s">
        <v>49</v>
      </c>
      <c r="F86" t="s">
        <v>351</v>
      </c>
      <c r="G86">
        <v>3</v>
      </c>
      <c r="H86">
        <v>2800</v>
      </c>
      <c r="I86">
        <v>15</v>
      </c>
      <c r="J86" t="s">
        <v>29</v>
      </c>
      <c r="K86" t="s">
        <v>30</v>
      </c>
      <c r="L86">
        <v>7140</v>
      </c>
      <c r="M86" t="s">
        <v>768</v>
      </c>
      <c r="N86">
        <v>4</v>
      </c>
      <c r="O86" s="2">
        <v>46113</v>
      </c>
    </row>
    <row r="87" spans="1:15" x14ac:dyDescent="0.3">
      <c r="A87" t="s">
        <v>145</v>
      </c>
      <c r="B87" s="2">
        <v>46093</v>
      </c>
      <c r="C87" t="s">
        <v>117</v>
      </c>
      <c r="D87" t="s">
        <v>40</v>
      </c>
      <c r="E87" t="s">
        <v>15</v>
      </c>
      <c r="F87" t="s">
        <v>146</v>
      </c>
      <c r="G87">
        <v>3</v>
      </c>
      <c r="H87">
        <v>2500</v>
      </c>
      <c r="I87">
        <v>5</v>
      </c>
      <c r="J87" t="s">
        <v>51</v>
      </c>
      <c r="K87" t="s">
        <v>22</v>
      </c>
      <c r="L87">
        <v>7125</v>
      </c>
      <c r="M87" t="s">
        <v>767</v>
      </c>
      <c r="N87">
        <v>3</v>
      </c>
      <c r="O87" s="2">
        <v>46082</v>
      </c>
    </row>
    <row r="88" spans="1:15" x14ac:dyDescent="0.3">
      <c r="A88" t="s">
        <v>452</v>
      </c>
      <c r="B88" s="2">
        <v>46155</v>
      </c>
      <c r="C88" t="s">
        <v>21</v>
      </c>
      <c r="D88" t="s">
        <v>26</v>
      </c>
      <c r="E88" t="s">
        <v>15</v>
      </c>
      <c r="F88" t="s">
        <v>73</v>
      </c>
      <c r="G88">
        <v>4</v>
      </c>
      <c r="H88">
        <v>2200</v>
      </c>
      <c r="I88">
        <v>20</v>
      </c>
      <c r="J88" t="s">
        <v>29</v>
      </c>
      <c r="K88" t="s">
        <v>30</v>
      </c>
      <c r="L88">
        <v>7040</v>
      </c>
      <c r="M88" t="s">
        <v>769</v>
      </c>
      <c r="N88">
        <v>5</v>
      </c>
      <c r="O88" s="2">
        <v>46143</v>
      </c>
    </row>
    <row r="89" spans="1:15" x14ac:dyDescent="0.3">
      <c r="A89" t="s">
        <v>694</v>
      </c>
      <c r="B89" s="2">
        <v>46049</v>
      </c>
      <c r="C89" t="s">
        <v>176</v>
      </c>
      <c r="D89" t="s">
        <v>26</v>
      </c>
      <c r="E89" t="s">
        <v>34</v>
      </c>
      <c r="F89" t="s">
        <v>35</v>
      </c>
      <c r="G89">
        <v>2</v>
      </c>
      <c r="H89">
        <v>3500</v>
      </c>
      <c r="I89">
        <v>0</v>
      </c>
      <c r="J89" t="s">
        <v>764</v>
      </c>
      <c r="K89" t="s">
        <v>30</v>
      </c>
      <c r="L89">
        <v>7000</v>
      </c>
      <c r="M89" t="s">
        <v>763</v>
      </c>
      <c r="N89">
        <v>1</v>
      </c>
      <c r="O89" s="2">
        <v>46023</v>
      </c>
    </row>
    <row r="90" spans="1:15" x14ac:dyDescent="0.3">
      <c r="A90" t="s">
        <v>531</v>
      </c>
      <c r="B90" s="2">
        <v>46091</v>
      </c>
      <c r="C90" t="s">
        <v>122</v>
      </c>
      <c r="D90" t="s">
        <v>26</v>
      </c>
      <c r="E90" t="s">
        <v>49</v>
      </c>
      <c r="F90" t="s">
        <v>157</v>
      </c>
      <c r="G90">
        <v>4</v>
      </c>
      <c r="H90">
        <v>1800</v>
      </c>
      <c r="I90">
        <v>5</v>
      </c>
      <c r="J90" t="s">
        <v>764</v>
      </c>
      <c r="K90" t="s">
        <v>22</v>
      </c>
      <c r="L90">
        <v>6840</v>
      </c>
      <c r="M90" t="s">
        <v>767</v>
      </c>
      <c r="N90">
        <v>3</v>
      </c>
      <c r="O90" s="2">
        <v>46082</v>
      </c>
    </row>
    <row r="91" spans="1:15" x14ac:dyDescent="0.3">
      <c r="A91" t="s">
        <v>714</v>
      </c>
      <c r="B91" s="2">
        <v>46199</v>
      </c>
      <c r="C91" t="s">
        <v>133</v>
      </c>
      <c r="D91" t="s">
        <v>40</v>
      </c>
      <c r="E91" t="s">
        <v>27</v>
      </c>
      <c r="F91" t="s">
        <v>128</v>
      </c>
      <c r="G91">
        <v>4</v>
      </c>
      <c r="H91">
        <v>1800</v>
      </c>
      <c r="I91">
        <v>5</v>
      </c>
      <c r="J91" t="s">
        <v>29</v>
      </c>
      <c r="K91" t="s">
        <v>30</v>
      </c>
      <c r="L91">
        <v>6840</v>
      </c>
      <c r="M91" t="s">
        <v>770</v>
      </c>
      <c r="N91">
        <v>6</v>
      </c>
      <c r="O91" s="2">
        <v>46174</v>
      </c>
    </row>
    <row r="92" spans="1:15" x14ac:dyDescent="0.3">
      <c r="A92" t="s">
        <v>513</v>
      </c>
      <c r="B92" s="2">
        <v>46158</v>
      </c>
      <c r="C92" t="s">
        <v>88</v>
      </c>
      <c r="D92" t="s">
        <v>26</v>
      </c>
      <c r="E92" t="s">
        <v>15</v>
      </c>
      <c r="F92" t="s">
        <v>16</v>
      </c>
      <c r="G92">
        <v>5</v>
      </c>
      <c r="H92">
        <v>1500</v>
      </c>
      <c r="I92">
        <v>10</v>
      </c>
      <c r="J92" t="s">
        <v>764</v>
      </c>
      <c r="K92" t="s">
        <v>18</v>
      </c>
      <c r="L92">
        <v>6750</v>
      </c>
      <c r="M92" t="s">
        <v>769</v>
      </c>
      <c r="N92">
        <v>5</v>
      </c>
      <c r="O92" s="2">
        <v>46143</v>
      </c>
    </row>
    <row r="93" spans="1:15" x14ac:dyDescent="0.3">
      <c r="A93" t="s">
        <v>552</v>
      </c>
      <c r="B93" s="2">
        <v>46067</v>
      </c>
      <c r="C93" t="s">
        <v>99</v>
      </c>
      <c r="D93" t="s">
        <v>14</v>
      </c>
      <c r="E93" t="s">
        <v>49</v>
      </c>
      <c r="F93" t="s">
        <v>351</v>
      </c>
      <c r="G93">
        <v>3</v>
      </c>
      <c r="H93">
        <v>2800</v>
      </c>
      <c r="I93">
        <v>20</v>
      </c>
      <c r="J93" t="s">
        <v>29</v>
      </c>
      <c r="K93" t="s">
        <v>18</v>
      </c>
      <c r="L93">
        <v>6720</v>
      </c>
      <c r="M93" t="s">
        <v>765</v>
      </c>
      <c r="N93">
        <v>2</v>
      </c>
      <c r="O93" s="2">
        <v>46054</v>
      </c>
    </row>
    <row r="94" spans="1:15" x14ac:dyDescent="0.3">
      <c r="A94" t="s">
        <v>738</v>
      </c>
      <c r="B94" s="2">
        <v>46136</v>
      </c>
      <c r="C94" t="s">
        <v>44</v>
      </c>
      <c r="D94" t="s">
        <v>14</v>
      </c>
      <c r="E94" t="s">
        <v>49</v>
      </c>
      <c r="F94" t="s">
        <v>351</v>
      </c>
      <c r="G94">
        <v>3</v>
      </c>
      <c r="H94">
        <v>2800</v>
      </c>
      <c r="I94">
        <v>20</v>
      </c>
      <c r="J94" t="s">
        <v>55</v>
      </c>
      <c r="K94" t="s">
        <v>22</v>
      </c>
      <c r="L94">
        <v>6720</v>
      </c>
      <c r="M94" t="s">
        <v>768</v>
      </c>
      <c r="N94">
        <v>4</v>
      </c>
      <c r="O94" s="2">
        <v>46113</v>
      </c>
    </row>
    <row r="95" spans="1:15" x14ac:dyDescent="0.3">
      <c r="A95" t="s">
        <v>683</v>
      </c>
      <c r="B95" s="2">
        <v>46186</v>
      </c>
      <c r="C95" t="s">
        <v>159</v>
      </c>
      <c r="D95" t="s">
        <v>72</v>
      </c>
      <c r="E95" t="s">
        <v>49</v>
      </c>
      <c r="F95" t="s">
        <v>351</v>
      </c>
      <c r="G95">
        <v>3</v>
      </c>
      <c r="H95">
        <v>2800</v>
      </c>
      <c r="I95">
        <v>20</v>
      </c>
      <c r="J95" t="s">
        <v>51</v>
      </c>
      <c r="K95" t="s">
        <v>22</v>
      </c>
      <c r="L95">
        <v>6720</v>
      </c>
      <c r="M95" t="s">
        <v>770</v>
      </c>
      <c r="N95">
        <v>6</v>
      </c>
      <c r="O95" s="2">
        <v>46174</v>
      </c>
    </row>
    <row r="96" spans="1:15" x14ac:dyDescent="0.3">
      <c r="A96" t="s">
        <v>101</v>
      </c>
      <c r="B96" s="2">
        <v>46040</v>
      </c>
      <c r="C96" t="s">
        <v>95</v>
      </c>
      <c r="D96" t="s">
        <v>40</v>
      </c>
      <c r="E96" t="s">
        <v>15</v>
      </c>
      <c r="F96" t="s">
        <v>73</v>
      </c>
      <c r="G96">
        <v>3</v>
      </c>
      <c r="H96">
        <v>2200</v>
      </c>
      <c r="I96">
        <v>0</v>
      </c>
      <c r="J96" t="s">
        <v>55</v>
      </c>
      <c r="K96" t="s">
        <v>30</v>
      </c>
      <c r="L96">
        <v>6600</v>
      </c>
      <c r="M96" t="s">
        <v>763</v>
      </c>
      <c r="N96">
        <v>1</v>
      </c>
      <c r="O96" s="2">
        <v>46023</v>
      </c>
    </row>
    <row r="97" spans="1:15" x14ac:dyDescent="0.3">
      <c r="A97" t="s">
        <v>614</v>
      </c>
      <c r="B97" s="2">
        <v>46097</v>
      </c>
      <c r="C97" t="s">
        <v>39</v>
      </c>
      <c r="D97" t="s">
        <v>26</v>
      </c>
      <c r="E97" t="s">
        <v>49</v>
      </c>
      <c r="F97" t="s">
        <v>157</v>
      </c>
      <c r="G97">
        <v>4</v>
      </c>
      <c r="H97">
        <v>1800</v>
      </c>
      <c r="I97">
        <v>10</v>
      </c>
      <c r="J97" t="s">
        <v>51</v>
      </c>
      <c r="K97" t="s">
        <v>18</v>
      </c>
      <c r="L97">
        <v>6480</v>
      </c>
      <c r="M97" t="s">
        <v>767</v>
      </c>
      <c r="N97">
        <v>3</v>
      </c>
      <c r="O97" s="2">
        <v>46082</v>
      </c>
    </row>
    <row r="98" spans="1:15" x14ac:dyDescent="0.3">
      <c r="A98" t="s">
        <v>160</v>
      </c>
      <c r="B98" s="2">
        <v>46112</v>
      </c>
      <c r="C98" t="s">
        <v>122</v>
      </c>
      <c r="D98" t="s">
        <v>14</v>
      </c>
      <c r="E98" t="s">
        <v>49</v>
      </c>
      <c r="F98" t="s">
        <v>58</v>
      </c>
      <c r="G98">
        <v>2</v>
      </c>
      <c r="H98">
        <v>3200</v>
      </c>
      <c r="I98">
        <v>0</v>
      </c>
      <c r="J98" t="s">
        <v>55</v>
      </c>
      <c r="K98" t="s">
        <v>18</v>
      </c>
      <c r="L98">
        <v>6400</v>
      </c>
      <c r="M98" t="s">
        <v>767</v>
      </c>
      <c r="N98">
        <v>3</v>
      </c>
      <c r="O98" s="2">
        <v>46082</v>
      </c>
    </row>
    <row r="99" spans="1:15" x14ac:dyDescent="0.3">
      <c r="A99" t="s">
        <v>203</v>
      </c>
      <c r="B99" s="2">
        <v>46122</v>
      </c>
      <c r="C99" t="s">
        <v>48</v>
      </c>
      <c r="D99" t="s">
        <v>72</v>
      </c>
      <c r="E99" t="s">
        <v>34</v>
      </c>
      <c r="F99" t="s">
        <v>41</v>
      </c>
      <c r="G99">
        <v>5</v>
      </c>
      <c r="H99">
        <v>1600</v>
      </c>
      <c r="I99">
        <v>20</v>
      </c>
      <c r="J99" t="s">
        <v>55</v>
      </c>
      <c r="K99" t="s">
        <v>18</v>
      </c>
      <c r="L99">
        <v>6400</v>
      </c>
      <c r="M99" t="s">
        <v>768</v>
      </c>
      <c r="N99">
        <v>4</v>
      </c>
      <c r="O99" s="2">
        <v>46113</v>
      </c>
    </row>
    <row r="100" spans="1:15" x14ac:dyDescent="0.3">
      <c r="A100" t="s">
        <v>167</v>
      </c>
      <c r="B100" s="2">
        <v>46023</v>
      </c>
      <c r="C100" t="s">
        <v>166</v>
      </c>
      <c r="D100" t="s">
        <v>14</v>
      </c>
      <c r="E100" t="s">
        <v>15</v>
      </c>
      <c r="F100" t="s">
        <v>146</v>
      </c>
      <c r="G100">
        <v>3</v>
      </c>
      <c r="H100">
        <v>2500</v>
      </c>
      <c r="I100">
        <v>15</v>
      </c>
      <c r="J100" t="s">
        <v>764</v>
      </c>
      <c r="K100" t="s">
        <v>30</v>
      </c>
      <c r="L100">
        <v>6375</v>
      </c>
      <c r="M100" t="s">
        <v>763</v>
      </c>
      <c r="N100">
        <v>1</v>
      </c>
      <c r="O100" s="2">
        <v>46023</v>
      </c>
    </row>
    <row r="101" spans="1:15" x14ac:dyDescent="0.3">
      <c r="A101" t="s">
        <v>586</v>
      </c>
      <c r="B101" s="2">
        <v>46058</v>
      </c>
      <c r="C101" t="s">
        <v>33</v>
      </c>
      <c r="D101" t="s">
        <v>40</v>
      </c>
      <c r="E101" t="s">
        <v>15</v>
      </c>
      <c r="F101" t="s">
        <v>16</v>
      </c>
      <c r="G101">
        <v>5</v>
      </c>
      <c r="H101">
        <v>1500</v>
      </c>
      <c r="I101">
        <v>15</v>
      </c>
      <c r="J101" t="s">
        <v>51</v>
      </c>
      <c r="K101" t="s">
        <v>18</v>
      </c>
      <c r="L101">
        <v>6375</v>
      </c>
      <c r="M101" t="s">
        <v>765</v>
      </c>
      <c r="N101">
        <v>2</v>
      </c>
      <c r="O101" s="2">
        <v>46054</v>
      </c>
    </row>
    <row r="102" spans="1:15" x14ac:dyDescent="0.3">
      <c r="A102" t="s">
        <v>188</v>
      </c>
      <c r="B102" s="2">
        <v>46131</v>
      </c>
      <c r="C102" t="s">
        <v>13</v>
      </c>
      <c r="D102" t="s">
        <v>14</v>
      </c>
      <c r="E102" t="s">
        <v>15</v>
      </c>
      <c r="F102" t="s">
        <v>16</v>
      </c>
      <c r="G102">
        <v>5</v>
      </c>
      <c r="H102">
        <v>1500</v>
      </c>
      <c r="I102">
        <v>15</v>
      </c>
      <c r="J102" t="s">
        <v>764</v>
      </c>
      <c r="K102" t="s">
        <v>22</v>
      </c>
      <c r="L102">
        <v>6375</v>
      </c>
      <c r="M102" t="s">
        <v>768</v>
      </c>
      <c r="N102">
        <v>4</v>
      </c>
      <c r="O102" s="2">
        <v>46113</v>
      </c>
    </row>
    <row r="103" spans="1:15" x14ac:dyDescent="0.3">
      <c r="A103" t="s">
        <v>574</v>
      </c>
      <c r="B103" s="2">
        <v>46154</v>
      </c>
      <c r="C103" t="s">
        <v>88</v>
      </c>
      <c r="D103" t="s">
        <v>26</v>
      </c>
      <c r="E103" t="s">
        <v>15</v>
      </c>
      <c r="F103" t="s">
        <v>146</v>
      </c>
      <c r="G103">
        <v>3</v>
      </c>
      <c r="H103">
        <v>2500</v>
      </c>
      <c r="I103">
        <v>15</v>
      </c>
      <c r="J103" t="s">
        <v>29</v>
      </c>
      <c r="K103" t="s">
        <v>30</v>
      </c>
      <c r="L103">
        <v>6375</v>
      </c>
      <c r="M103" t="s">
        <v>769</v>
      </c>
      <c r="N103">
        <v>5</v>
      </c>
      <c r="O103" s="2">
        <v>46143</v>
      </c>
    </row>
    <row r="104" spans="1:15" x14ac:dyDescent="0.3">
      <c r="A104" t="s">
        <v>131</v>
      </c>
      <c r="B104" s="2">
        <v>46194</v>
      </c>
      <c r="C104" t="s">
        <v>133</v>
      </c>
      <c r="D104" t="s">
        <v>26</v>
      </c>
      <c r="E104" t="s">
        <v>34</v>
      </c>
      <c r="F104" t="s">
        <v>35</v>
      </c>
      <c r="G104">
        <v>2</v>
      </c>
      <c r="H104">
        <v>3500</v>
      </c>
      <c r="I104">
        <v>10</v>
      </c>
      <c r="J104" t="s">
        <v>29</v>
      </c>
      <c r="K104" t="s">
        <v>22</v>
      </c>
      <c r="L104">
        <v>6300</v>
      </c>
      <c r="M104" t="s">
        <v>770</v>
      </c>
      <c r="N104">
        <v>6</v>
      </c>
      <c r="O104" s="2">
        <v>46174</v>
      </c>
    </row>
    <row r="105" spans="1:15" x14ac:dyDescent="0.3">
      <c r="A105" t="s">
        <v>321</v>
      </c>
      <c r="B105" s="2">
        <v>46060</v>
      </c>
      <c r="C105" t="s">
        <v>159</v>
      </c>
      <c r="D105" t="s">
        <v>40</v>
      </c>
      <c r="E105" t="s">
        <v>49</v>
      </c>
      <c r="F105" t="s">
        <v>50</v>
      </c>
      <c r="G105">
        <v>3</v>
      </c>
      <c r="H105">
        <v>2200</v>
      </c>
      <c r="I105">
        <v>5</v>
      </c>
      <c r="J105" t="s">
        <v>55</v>
      </c>
      <c r="K105" t="s">
        <v>30</v>
      </c>
      <c r="L105">
        <v>6270</v>
      </c>
      <c r="M105" t="s">
        <v>765</v>
      </c>
      <c r="N105">
        <v>2</v>
      </c>
      <c r="O105" s="2">
        <v>46054</v>
      </c>
    </row>
    <row r="106" spans="1:15" x14ac:dyDescent="0.3">
      <c r="A106" t="s">
        <v>177</v>
      </c>
      <c r="B106" s="2">
        <v>46190</v>
      </c>
      <c r="C106" t="s">
        <v>179</v>
      </c>
      <c r="D106" t="s">
        <v>72</v>
      </c>
      <c r="E106" t="s">
        <v>27</v>
      </c>
      <c r="F106" t="s">
        <v>128</v>
      </c>
      <c r="G106">
        <v>4</v>
      </c>
      <c r="H106">
        <v>1800</v>
      </c>
      <c r="I106">
        <v>15</v>
      </c>
      <c r="J106" t="s">
        <v>55</v>
      </c>
      <c r="K106" t="s">
        <v>18</v>
      </c>
      <c r="L106">
        <v>6120</v>
      </c>
      <c r="M106" t="s">
        <v>770</v>
      </c>
      <c r="N106">
        <v>6</v>
      </c>
      <c r="O106" s="2">
        <v>46174</v>
      </c>
    </row>
    <row r="107" spans="1:15" x14ac:dyDescent="0.3">
      <c r="A107" t="s">
        <v>572</v>
      </c>
      <c r="B107" s="2">
        <v>46038</v>
      </c>
      <c r="C107" t="s">
        <v>39</v>
      </c>
      <c r="D107" t="s">
        <v>14</v>
      </c>
      <c r="E107" t="s">
        <v>49</v>
      </c>
      <c r="F107" t="s">
        <v>58</v>
      </c>
      <c r="G107">
        <v>2</v>
      </c>
      <c r="H107">
        <v>3200</v>
      </c>
      <c r="I107">
        <v>5</v>
      </c>
      <c r="J107" t="s">
        <v>55</v>
      </c>
      <c r="K107" t="s">
        <v>30</v>
      </c>
      <c r="L107">
        <v>6080</v>
      </c>
      <c r="M107" t="s">
        <v>763</v>
      </c>
      <c r="N107">
        <v>1</v>
      </c>
      <c r="O107" s="2">
        <v>46023</v>
      </c>
    </row>
    <row r="108" spans="1:15" x14ac:dyDescent="0.3">
      <c r="A108" t="s">
        <v>440</v>
      </c>
      <c r="B108" s="2">
        <v>46036</v>
      </c>
      <c r="C108" t="s">
        <v>125</v>
      </c>
      <c r="D108" t="s">
        <v>14</v>
      </c>
      <c r="E108" t="s">
        <v>15</v>
      </c>
      <c r="F108" t="s">
        <v>146</v>
      </c>
      <c r="G108">
        <v>3</v>
      </c>
      <c r="H108">
        <v>2500</v>
      </c>
      <c r="I108">
        <v>20</v>
      </c>
      <c r="J108" t="s">
        <v>51</v>
      </c>
      <c r="K108" t="s">
        <v>36</v>
      </c>
      <c r="L108">
        <v>6000</v>
      </c>
      <c r="M108" t="s">
        <v>763</v>
      </c>
      <c r="N108">
        <v>1</v>
      </c>
      <c r="O108" s="2">
        <v>46023</v>
      </c>
    </row>
    <row r="109" spans="1:15" x14ac:dyDescent="0.3">
      <c r="A109" t="s">
        <v>529</v>
      </c>
      <c r="B109" s="2">
        <v>46045</v>
      </c>
      <c r="C109" t="s">
        <v>54</v>
      </c>
      <c r="D109" t="s">
        <v>40</v>
      </c>
      <c r="E109" t="s">
        <v>15</v>
      </c>
      <c r="F109" t="s">
        <v>16</v>
      </c>
      <c r="G109">
        <v>5</v>
      </c>
      <c r="H109">
        <v>1500</v>
      </c>
      <c r="I109">
        <v>20</v>
      </c>
      <c r="J109" t="s">
        <v>51</v>
      </c>
      <c r="K109" t="s">
        <v>18</v>
      </c>
      <c r="L109">
        <v>6000</v>
      </c>
      <c r="M109" t="s">
        <v>763</v>
      </c>
      <c r="N109">
        <v>1</v>
      </c>
      <c r="O109" s="2">
        <v>46023</v>
      </c>
    </row>
    <row r="110" spans="1:15" x14ac:dyDescent="0.3">
      <c r="A110" t="s">
        <v>19</v>
      </c>
      <c r="B110" s="2">
        <v>46046</v>
      </c>
      <c r="C110" t="s">
        <v>21</v>
      </c>
      <c r="D110" t="s">
        <v>14</v>
      </c>
      <c r="E110" t="s">
        <v>15</v>
      </c>
      <c r="F110" t="s">
        <v>16</v>
      </c>
      <c r="G110">
        <v>5</v>
      </c>
      <c r="H110">
        <v>1500</v>
      </c>
      <c r="I110">
        <v>20</v>
      </c>
      <c r="J110" t="s">
        <v>764</v>
      </c>
      <c r="K110" t="s">
        <v>22</v>
      </c>
      <c r="L110">
        <v>6000</v>
      </c>
      <c r="M110" t="s">
        <v>763</v>
      </c>
      <c r="N110">
        <v>1</v>
      </c>
      <c r="O110" s="2">
        <v>46023</v>
      </c>
    </row>
    <row r="111" spans="1:15" x14ac:dyDescent="0.3">
      <c r="A111" t="s">
        <v>394</v>
      </c>
      <c r="B111" s="2">
        <v>46100</v>
      </c>
      <c r="C111" t="s">
        <v>142</v>
      </c>
      <c r="D111" t="s">
        <v>40</v>
      </c>
      <c r="E111" t="s">
        <v>34</v>
      </c>
      <c r="F111" t="s">
        <v>35</v>
      </c>
      <c r="G111">
        <v>2</v>
      </c>
      <c r="H111">
        <v>3500</v>
      </c>
      <c r="I111">
        <v>15</v>
      </c>
      <c r="J111" t="s">
        <v>29</v>
      </c>
      <c r="K111" t="s">
        <v>36</v>
      </c>
      <c r="L111">
        <v>5950</v>
      </c>
      <c r="M111" t="s">
        <v>767</v>
      </c>
      <c r="N111">
        <v>3</v>
      </c>
      <c r="O111" s="2">
        <v>46082</v>
      </c>
    </row>
    <row r="112" spans="1:15" x14ac:dyDescent="0.3">
      <c r="A112" t="s">
        <v>285</v>
      </c>
      <c r="B112" s="2">
        <v>46201</v>
      </c>
      <c r="C112" t="s">
        <v>13</v>
      </c>
      <c r="D112" t="s">
        <v>72</v>
      </c>
      <c r="E112" t="s">
        <v>34</v>
      </c>
      <c r="F112" t="s">
        <v>35</v>
      </c>
      <c r="G112">
        <v>2</v>
      </c>
      <c r="H112">
        <v>3500</v>
      </c>
      <c r="I112">
        <v>15</v>
      </c>
      <c r="J112" t="s">
        <v>764</v>
      </c>
      <c r="K112" t="s">
        <v>30</v>
      </c>
      <c r="L112">
        <v>5950</v>
      </c>
      <c r="M112" t="s">
        <v>770</v>
      </c>
      <c r="N112">
        <v>6</v>
      </c>
      <c r="O112" s="2">
        <v>46174</v>
      </c>
    </row>
    <row r="113" spans="1:15" x14ac:dyDescent="0.3">
      <c r="A113" t="s">
        <v>454</v>
      </c>
      <c r="B113" s="2">
        <v>46165</v>
      </c>
      <c r="C113" t="s">
        <v>122</v>
      </c>
      <c r="D113" t="s">
        <v>14</v>
      </c>
      <c r="E113" t="s">
        <v>49</v>
      </c>
      <c r="F113" t="s">
        <v>50</v>
      </c>
      <c r="G113">
        <v>3</v>
      </c>
      <c r="H113">
        <v>2200</v>
      </c>
      <c r="I113">
        <v>10</v>
      </c>
      <c r="J113" t="s">
        <v>55</v>
      </c>
      <c r="K113" t="s">
        <v>18</v>
      </c>
      <c r="L113">
        <v>5940</v>
      </c>
      <c r="M113" t="s">
        <v>769</v>
      </c>
      <c r="N113">
        <v>5</v>
      </c>
      <c r="O113" s="2">
        <v>46143</v>
      </c>
    </row>
    <row r="114" spans="1:15" x14ac:dyDescent="0.3">
      <c r="A114" t="s">
        <v>707</v>
      </c>
      <c r="B114" s="2">
        <v>46192</v>
      </c>
      <c r="C114" t="s">
        <v>249</v>
      </c>
      <c r="D114" t="s">
        <v>14</v>
      </c>
      <c r="E114" t="s">
        <v>15</v>
      </c>
      <c r="F114" t="s">
        <v>73</v>
      </c>
      <c r="G114">
        <v>3</v>
      </c>
      <c r="H114">
        <v>2200</v>
      </c>
      <c r="I114">
        <v>10</v>
      </c>
      <c r="J114" t="s">
        <v>29</v>
      </c>
      <c r="K114" t="s">
        <v>30</v>
      </c>
      <c r="L114">
        <v>5940</v>
      </c>
      <c r="M114" t="s">
        <v>770</v>
      </c>
      <c r="N114">
        <v>6</v>
      </c>
      <c r="O114" s="2">
        <v>46174</v>
      </c>
    </row>
    <row r="115" spans="1:15" x14ac:dyDescent="0.3">
      <c r="A115" t="s">
        <v>183</v>
      </c>
      <c r="B115" s="2">
        <v>46029</v>
      </c>
      <c r="C115" t="s">
        <v>117</v>
      </c>
      <c r="D115" t="s">
        <v>14</v>
      </c>
      <c r="E115" t="s">
        <v>49</v>
      </c>
      <c r="F115" t="s">
        <v>157</v>
      </c>
      <c r="G115">
        <v>4</v>
      </c>
      <c r="H115">
        <v>1800</v>
      </c>
      <c r="I115">
        <v>20</v>
      </c>
      <c r="J115" t="s">
        <v>764</v>
      </c>
      <c r="K115" t="s">
        <v>18</v>
      </c>
      <c r="L115">
        <v>5760</v>
      </c>
      <c r="M115" t="s">
        <v>763</v>
      </c>
      <c r="N115">
        <v>1</v>
      </c>
      <c r="O115" s="2">
        <v>46023</v>
      </c>
    </row>
    <row r="116" spans="1:15" x14ac:dyDescent="0.3">
      <c r="A116" t="s">
        <v>434</v>
      </c>
      <c r="B116" s="2">
        <v>46047</v>
      </c>
      <c r="C116" t="s">
        <v>117</v>
      </c>
      <c r="D116" t="s">
        <v>26</v>
      </c>
      <c r="E116" t="s">
        <v>49</v>
      </c>
      <c r="F116" t="s">
        <v>157</v>
      </c>
      <c r="G116">
        <v>4</v>
      </c>
      <c r="H116">
        <v>1800</v>
      </c>
      <c r="I116">
        <v>20</v>
      </c>
      <c r="J116" t="s">
        <v>29</v>
      </c>
      <c r="K116" t="s">
        <v>22</v>
      </c>
      <c r="L116">
        <v>5760</v>
      </c>
      <c r="M116" t="s">
        <v>763</v>
      </c>
      <c r="N116">
        <v>1</v>
      </c>
      <c r="O116" s="2">
        <v>46023</v>
      </c>
    </row>
    <row r="117" spans="1:15" x14ac:dyDescent="0.3">
      <c r="A117" t="s">
        <v>536</v>
      </c>
      <c r="B117" s="2">
        <v>46177</v>
      </c>
      <c r="C117" t="s">
        <v>133</v>
      </c>
      <c r="D117" t="s">
        <v>14</v>
      </c>
      <c r="E117" t="s">
        <v>34</v>
      </c>
      <c r="F117" t="s">
        <v>41</v>
      </c>
      <c r="G117">
        <v>4</v>
      </c>
      <c r="H117">
        <v>1600</v>
      </c>
      <c r="I117">
        <v>10</v>
      </c>
      <c r="J117" t="s">
        <v>55</v>
      </c>
      <c r="K117" t="s">
        <v>18</v>
      </c>
      <c r="L117">
        <v>5760</v>
      </c>
      <c r="M117" t="s">
        <v>770</v>
      </c>
      <c r="N117">
        <v>6</v>
      </c>
      <c r="O117" s="2">
        <v>46174</v>
      </c>
    </row>
    <row r="118" spans="1:15" x14ac:dyDescent="0.3">
      <c r="A118" t="s">
        <v>628</v>
      </c>
      <c r="B118" s="2">
        <v>46094</v>
      </c>
      <c r="C118" t="s">
        <v>176</v>
      </c>
      <c r="D118" t="s">
        <v>14</v>
      </c>
      <c r="E118" t="s">
        <v>15</v>
      </c>
      <c r="F118" t="s">
        <v>16</v>
      </c>
      <c r="G118">
        <v>4</v>
      </c>
      <c r="H118">
        <v>1500</v>
      </c>
      <c r="I118">
        <v>5</v>
      </c>
      <c r="J118" t="s">
        <v>55</v>
      </c>
      <c r="K118" t="s">
        <v>36</v>
      </c>
      <c r="L118">
        <v>5700</v>
      </c>
      <c r="M118" t="s">
        <v>767</v>
      </c>
      <c r="N118">
        <v>3</v>
      </c>
      <c r="O118" s="2">
        <v>46082</v>
      </c>
    </row>
    <row r="119" spans="1:15" x14ac:dyDescent="0.3">
      <c r="A119" t="s">
        <v>298</v>
      </c>
      <c r="B119" s="2">
        <v>46142</v>
      </c>
      <c r="C119" t="s">
        <v>95</v>
      </c>
      <c r="D119" t="s">
        <v>26</v>
      </c>
      <c r="E119" t="s">
        <v>34</v>
      </c>
      <c r="F119" t="s">
        <v>100</v>
      </c>
      <c r="G119">
        <v>5</v>
      </c>
      <c r="H119">
        <v>1200</v>
      </c>
      <c r="I119">
        <v>5</v>
      </c>
      <c r="J119" t="s">
        <v>764</v>
      </c>
      <c r="K119" t="s">
        <v>18</v>
      </c>
      <c r="L119">
        <v>5700</v>
      </c>
      <c r="M119" t="s">
        <v>768</v>
      </c>
      <c r="N119">
        <v>4</v>
      </c>
      <c r="O119" s="2">
        <v>46113</v>
      </c>
    </row>
    <row r="120" spans="1:15" x14ac:dyDescent="0.3">
      <c r="A120" t="s">
        <v>97</v>
      </c>
      <c r="B120" s="2">
        <v>46173</v>
      </c>
      <c r="C120" t="s">
        <v>99</v>
      </c>
      <c r="D120" t="s">
        <v>14</v>
      </c>
      <c r="E120" t="s">
        <v>34</v>
      </c>
      <c r="F120" t="s">
        <v>100</v>
      </c>
      <c r="G120">
        <v>5</v>
      </c>
      <c r="H120">
        <v>1200</v>
      </c>
      <c r="I120">
        <v>5</v>
      </c>
      <c r="J120" t="s">
        <v>764</v>
      </c>
      <c r="K120" t="s">
        <v>36</v>
      </c>
      <c r="L120">
        <v>5700</v>
      </c>
      <c r="M120" t="s">
        <v>769</v>
      </c>
      <c r="N120">
        <v>5</v>
      </c>
      <c r="O120" s="2">
        <v>46143</v>
      </c>
    </row>
    <row r="121" spans="1:15" x14ac:dyDescent="0.3">
      <c r="A121" t="s">
        <v>653</v>
      </c>
      <c r="B121" s="2">
        <v>46043</v>
      </c>
      <c r="C121" t="s">
        <v>196</v>
      </c>
      <c r="D121" t="s">
        <v>40</v>
      </c>
      <c r="E121" t="s">
        <v>49</v>
      </c>
      <c r="F121" t="s">
        <v>50</v>
      </c>
      <c r="G121">
        <v>3</v>
      </c>
      <c r="H121">
        <v>2200</v>
      </c>
      <c r="I121">
        <v>15</v>
      </c>
      <c r="J121" t="s">
        <v>29</v>
      </c>
      <c r="K121" t="s">
        <v>18</v>
      </c>
      <c r="L121">
        <v>5610</v>
      </c>
      <c r="M121" t="s">
        <v>763</v>
      </c>
      <c r="N121">
        <v>1</v>
      </c>
      <c r="O121" s="2">
        <v>46023</v>
      </c>
    </row>
    <row r="122" spans="1:15" x14ac:dyDescent="0.3">
      <c r="A122" t="s">
        <v>619</v>
      </c>
      <c r="B122" s="2">
        <v>46060</v>
      </c>
      <c r="C122" t="s">
        <v>61</v>
      </c>
      <c r="D122" t="s">
        <v>14</v>
      </c>
      <c r="E122" t="s">
        <v>49</v>
      </c>
      <c r="F122" t="s">
        <v>50</v>
      </c>
      <c r="G122">
        <v>3</v>
      </c>
      <c r="H122">
        <v>2200</v>
      </c>
      <c r="I122">
        <v>15</v>
      </c>
      <c r="J122" t="s">
        <v>764</v>
      </c>
      <c r="K122" t="s">
        <v>30</v>
      </c>
      <c r="L122">
        <v>5610</v>
      </c>
      <c r="M122" t="s">
        <v>765</v>
      </c>
      <c r="N122">
        <v>2</v>
      </c>
      <c r="O122" s="2">
        <v>46054</v>
      </c>
    </row>
    <row r="123" spans="1:15" x14ac:dyDescent="0.3">
      <c r="A123" t="s">
        <v>194</v>
      </c>
      <c r="B123" s="2">
        <v>46156</v>
      </c>
      <c r="C123" t="s">
        <v>196</v>
      </c>
      <c r="D123" t="s">
        <v>14</v>
      </c>
      <c r="E123" t="s">
        <v>49</v>
      </c>
      <c r="F123" t="s">
        <v>50</v>
      </c>
      <c r="G123">
        <v>3</v>
      </c>
      <c r="H123">
        <v>2200</v>
      </c>
      <c r="I123">
        <v>15</v>
      </c>
      <c r="J123" t="s">
        <v>764</v>
      </c>
      <c r="K123" t="s">
        <v>30</v>
      </c>
      <c r="L123">
        <v>5610</v>
      </c>
      <c r="M123" t="s">
        <v>769</v>
      </c>
      <c r="N123">
        <v>5</v>
      </c>
      <c r="O123" s="2">
        <v>46143</v>
      </c>
    </row>
    <row r="124" spans="1:15" x14ac:dyDescent="0.3">
      <c r="A124" t="s">
        <v>569</v>
      </c>
      <c r="B124" s="2">
        <v>46058</v>
      </c>
      <c r="C124" t="s">
        <v>159</v>
      </c>
      <c r="D124" t="s">
        <v>14</v>
      </c>
      <c r="E124" t="s">
        <v>49</v>
      </c>
      <c r="F124" t="s">
        <v>351</v>
      </c>
      <c r="G124">
        <v>2</v>
      </c>
      <c r="H124">
        <v>2800</v>
      </c>
      <c r="I124">
        <v>0</v>
      </c>
      <c r="J124" t="s">
        <v>51</v>
      </c>
      <c r="K124" t="s">
        <v>30</v>
      </c>
      <c r="L124">
        <v>5600</v>
      </c>
      <c r="M124" t="s">
        <v>765</v>
      </c>
      <c r="N124">
        <v>2</v>
      </c>
      <c r="O124" s="2">
        <v>46054</v>
      </c>
    </row>
    <row r="125" spans="1:15" x14ac:dyDescent="0.3">
      <c r="A125" t="s">
        <v>636</v>
      </c>
      <c r="B125" s="2">
        <v>46105</v>
      </c>
      <c r="C125" t="s">
        <v>117</v>
      </c>
      <c r="D125" t="s">
        <v>40</v>
      </c>
      <c r="E125" t="s">
        <v>34</v>
      </c>
      <c r="F125" t="s">
        <v>35</v>
      </c>
      <c r="G125">
        <v>2</v>
      </c>
      <c r="H125">
        <v>3500</v>
      </c>
      <c r="I125">
        <v>20</v>
      </c>
      <c r="J125" t="s">
        <v>55</v>
      </c>
      <c r="K125" t="s">
        <v>36</v>
      </c>
      <c r="L125">
        <v>5600</v>
      </c>
      <c r="M125" t="s">
        <v>767</v>
      </c>
      <c r="N125">
        <v>3</v>
      </c>
      <c r="O125" s="2">
        <v>46082</v>
      </c>
    </row>
    <row r="126" spans="1:15" x14ac:dyDescent="0.3">
      <c r="A126" t="s">
        <v>587</v>
      </c>
      <c r="B126" s="2">
        <v>46086</v>
      </c>
      <c r="C126" t="s">
        <v>39</v>
      </c>
      <c r="D126" t="s">
        <v>40</v>
      </c>
      <c r="E126" t="s">
        <v>34</v>
      </c>
      <c r="F126" t="s">
        <v>35</v>
      </c>
      <c r="G126">
        <v>2</v>
      </c>
      <c r="H126">
        <v>3500</v>
      </c>
      <c r="I126">
        <v>20</v>
      </c>
      <c r="J126" t="s">
        <v>51</v>
      </c>
      <c r="K126" t="s">
        <v>36</v>
      </c>
      <c r="L126">
        <v>5600</v>
      </c>
      <c r="M126" t="s">
        <v>767</v>
      </c>
      <c r="N126">
        <v>3</v>
      </c>
      <c r="O126" s="2">
        <v>46082</v>
      </c>
    </row>
    <row r="127" spans="1:15" x14ac:dyDescent="0.3">
      <c r="A127" t="s">
        <v>377</v>
      </c>
      <c r="B127" s="2">
        <v>46058</v>
      </c>
      <c r="C127" t="s">
        <v>105</v>
      </c>
      <c r="D127" t="s">
        <v>40</v>
      </c>
      <c r="E127" t="s">
        <v>49</v>
      </c>
      <c r="F127" t="s">
        <v>157</v>
      </c>
      <c r="G127">
        <v>3</v>
      </c>
      <c r="H127">
        <v>1800</v>
      </c>
      <c r="I127">
        <v>0</v>
      </c>
      <c r="J127" t="s">
        <v>764</v>
      </c>
      <c r="K127" t="s">
        <v>30</v>
      </c>
      <c r="L127">
        <v>5400</v>
      </c>
      <c r="M127" t="s">
        <v>765</v>
      </c>
      <c r="N127">
        <v>2</v>
      </c>
      <c r="O127" s="2">
        <v>46054</v>
      </c>
    </row>
    <row r="128" spans="1:15" x14ac:dyDescent="0.3">
      <c r="A128" t="s">
        <v>388</v>
      </c>
      <c r="B128" s="2">
        <v>46129</v>
      </c>
      <c r="C128" t="s">
        <v>117</v>
      </c>
      <c r="D128" t="s">
        <v>72</v>
      </c>
      <c r="E128" t="s">
        <v>34</v>
      </c>
      <c r="F128" t="s">
        <v>100</v>
      </c>
      <c r="G128">
        <v>5</v>
      </c>
      <c r="H128">
        <v>1200</v>
      </c>
      <c r="I128">
        <v>10</v>
      </c>
      <c r="J128" t="s">
        <v>55</v>
      </c>
      <c r="K128" t="s">
        <v>18</v>
      </c>
      <c r="L128">
        <v>5400</v>
      </c>
      <c r="M128" t="s">
        <v>768</v>
      </c>
      <c r="N128">
        <v>4</v>
      </c>
      <c r="O128" s="2">
        <v>46113</v>
      </c>
    </row>
    <row r="129" spans="1:15" x14ac:dyDescent="0.3">
      <c r="A129" t="s">
        <v>37</v>
      </c>
      <c r="B129" s="2">
        <v>46177</v>
      </c>
      <c r="C129" t="s">
        <v>39</v>
      </c>
      <c r="D129" t="s">
        <v>40</v>
      </c>
      <c r="E129" t="s">
        <v>34</v>
      </c>
      <c r="F129" t="s">
        <v>41</v>
      </c>
      <c r="G129">
        <v>4</v>
      </c>
      <c r="H129">
        <v>1600</v>
      </c>
      <c r="I129">
        <v>20</v>
      </c>
      <c r="J129" t="s">
        <v>764</v>
      </c>
      <c r="K129" t="s">
        <v>18</v>
      </c>
      <c r="L129">
        <v>5120</v>
      </c>
      <c r="M129" t="s">
        <v>770</v>
      </c>
      <c r="N129">
        <v>6</v>
      </c>
      <c r="O129" s="2">
        <v>46174</v>
      </c>
    </row>
    <row r="130" spans="1:15" x14ac:dyDescent="0.3">
      <c r="A130" t="s">
        <v>612</v>
      </c>
      <c r="B130" s="2">
        <v>46034</v>
      </c>
      <c r="C130" t="s">
        <v>84</v>
      </c>
      <c r="D130" t="s">
        <v>14</v>
      </c>
      <c r="E130" t="s">
        <v>34</v>
      </c>
      <c r="F130" t="s">
        <v>100</v>
      </c>
      <c r="G130">
        <v>5</v>
      </c>
      <c r="H130">
        <v>1200</v>
      </c>
      <c r="I130">
        <v>15</v>
      </c>
      <c r="J130" t="s">
        <v>51</v>
      </c>
      <c r="K130" t="s">
        <v>18</v>
      </c>
      <c r="L130">
        <v>5100</v>
      </c>
      <c r="M130" t="s">
        <v>763</v>
      </c>
      <c r="N130">
        <v>1</v>
      </c>
      <c r="O130" s="2">
        <v>46023</v>
      </c>
    </row>
    <row r="131" spans="1:15" x14ac:dyDescent="0.3">
      <c r="A131" t="s">
        <v>431</v>
      </c>
      <c r="B131" s="2">
        <v>46063</v>
      </c>
      <c r="C131" t="s">
        <v>25</v>
      </c>
      <c r="D131" t="s">
        <v>72</v>
      </c>
      <c r="E131" t="s">
        <v>15</v>
      </c>
      <c r="F131" t="s">
        <v>16</v>
      </c>
      <c r="G131">
        <v>4</v>
      </c>
      <c r="H131">
        <v>1500</v>
      </c>
      <c r="I131">
        <v>15</v>
      </c>
      <c r="J131" t="s">
        <v>55</v>
      </c>
      <c r="K131" t="s">
        <v>30</v>
      </c>
      <c r="L131">
        <v>5100</v>
      </c>
      <c r="M131" t="s">
        <v>765</v>
      </c>
      <c r="N131">
        <v>2</v>
      </c>
      <c r="O131" s="2">
        <v>46054</v>
      </c>
    </row>
    <row r="132" spans="1:15" x14ac:dyDescent="0.3">
      <c r="A132" t="s">
        <v>218</v>
      </c>
      <c r="B132" s="2">
        <v>46171</v>
      </c>
      <c r="C132" t="s">
        <v>220</v>
      </c>
      <c r="D132" t="s">
        <v>26</v>
      </c>
      <c r="E132" t="s">
        <v>34</v>
      </c>
      <c r="F132" t="s">
        <v>100</v>
      </c>
      <c r="G132">
        <v>5</v>
      </c>
      <c r="H132">
        <v>1200</v>
      </c>
      <c r="I132">
        <v>15</v>
      </c>
      <c r="J132" t="s">
        <v>29</v>
      </c>
      <c r="K132" t="s">
        <v>22</v>
      </c>
      <c r="L132">
        <v>5100</v>
      </c>
      <c r="M132" t="s">
        <v>769</v>
      </c>
      <c r="N132">
        <v>5</v>
      </c>
      <c r="O132" s="2">
        <v>46143</v>
      </c>
    </row>
    <row r="133" spans="1:15" x14ac:dyDescent="0.3">
      <c r="A133" t="s">
        <v>107</v>
      </c>
      <c r="B133" s="2">
        <v>46191</v>
      </c>
      <c r="C133" t="s">
        <v>109</v>
      </c>
      <c r="D133" t="s">
        <v>26</v>
      </c>
      <c r="E133" t="s">
        <v>15</v>
      </c>
      <c r="F133" t="s">
        <v>16</v>
      </c>
      <c r="G133">
        <v>4</v>
      </c>
      <c r="H133">
        <v>1500</v>
      </c>
      <c r="I133">
        <v>15</v>
      </c>
      <c r="J133" t="s">
        <v>29</v>
      </c>
      <c r="K133" t="s">
        <v>36</v>
      </c>
      <c r="L133">
        <v>5100</v>
      </c>
      <c r="M133" t="s">
        <v>770</v>
      </c>
      <c r="N133">
        <v>6</v>
      </c>
      <c r="O133" s="2">
        <v>46174</v>
      </c>
    </row>
    <row r="134" spans="1:15" x14ac:dyDescent="0.3">
      <c r="A134" t="s">
        <v>381</v>
      </c>
      <c r="B134" s="2">
        <v>46084</v>
      </c>
      <c r="C134" t="s">
        <v>122</v>
      </c>
      <c r="D134" t="s">
        <v>72</v>
      </c>
      <c r="E134" t="s">
        <v>49</v>
      </c>
      <c r="F134" t="s">
        <v>351</v>
      </c>
      <c r="G134">
        <v>2</v>
      </c>
      <c r="H134">
        <v>2800</v>
      </c>
      <c r="I134">
        <v>10</v>
      </c>
      <c r="J134" t="s">
        <v>29</v>
      </c>
      <c r="K134" t="s">
        <v>18</v>
      </c>
      <c r="L134">
        <v>5040</v>
      </c>
      <c r="M134" t="s">
        <v>767</v>
      </c>
      <c r="N134">
        <v>3</v>
      </c>
      <c r="O134" s="2">
        <v>46082</v>
      </c>
    </row>
    <row r="135" spans="1:15" x14ac:dyDescent="0.3">
      <c r="A135" t="s">
        <v>650</v>
      </c>
      <c r="B135" s="2">
        <v>46169</v>
      </c>
      <c r="C135" t="s">
        <v>99</v>
      </c>
      <c r="D135" t="s">
        <v>72</v>
      </c>
      <c r="E135" t="s">
        <v>15</v>
      </c>
      <c r="F135" t="s">
        <v>146</v>
      </c>
      <c r="G135">
        <v>2</v>
      </c>
      <c r="H135">
        <v>2500</v>
      </c>
      <c r="I135">
        <v>0</v>
      </c>
      <c r="J135" t="s">
        <v>51</v>
      </c>
      <c r="K135" t="s">
        <v>36</v>
      </c>
      <c r="L135">
        <v>5000</v>
      </c>
      <c r="M135" t="s">
        <v>769</v>
      </c>
      <c r="N135">
        <v>5</v>
      </c>
      <c r="O135" s="2">
        <v>46143</v>
      </c>
    </row>
    <row r="136" spans="1:15" x14ac:dyDescent="0.3">
      <c r="A136" t="s">
        <v>648</v>
      </c>
      <c r="B136" s="2">
        <v>46190</v>
      </c>
      <c r="C136" t="s">
        <v>71</v>
      </c>
      <c r="D136" t="s">
        <v>72</v>
      </c>
      <c r="E136" t="s">
        <v>15</v>
      </c>
      <c r="F136" t="s">
        <v>146</v>
      </c>
      <c r="G136">
        <v>2</v>
      </c>
      <c r="H136">
        <v>2500</v>
      </c>
      <c r="I136">
        <v>0</v>
      </c>
      <c r="J136" t="s">
        <v>764</v>
      </c>
      <c r="K136" t="s">
        <v>30</v>
      </c>
      <c r="L136">
        <v>5000</v>
      </c>
      <c r="M136" t="s">
        <v>770</v>
      </c>
      <c r="N136">
        <v>6</v>
      </c>
      <c r="O136" s="2">
        <v>46174</v>
      </c>
    </row>
    <row r="137" spans="1:15" x14ac:dyDescent="0.3">
      <c r="A137" t="s">
        <v>174</v>
      </c>
      <c r="B137" s="2">
        <v>46100</v>
      </c>
      <c r="C137" t="s">
        <v>176</v>
      </c>
      <c r="D137" t="s">
        <v>40</v>
      </c>
      <c r="E137" t="s">
        <v>27</v>
      </c>
      <c r="F137" t="s">
        <v>128</v>
      </c>
      <c r="G137">
        <v>3</v>
      </c>
      <c r="H137">
        <v>1800</v>
      </c>
      <c r="I137">
        <v>10</v>
      </c>
      <c r="J137" t="s">
        <v>55</v>
      </c>
      <c r="K137" t="s">
        <v>18</v>
      </c>
      <c r="L137">
        <v>4860</v>
      </c>
      <c r="M137" t="s">
        <v>767</v>
      </c>
      <c r="N137">
        <v>3</v>
      </c>
      <c r="O137" s="2">
        <v>46082</v>
      </c>
    </row>
    <row r="138" spans="1:15" x14ac:dyDescent="0.3">
      <c r="A138" t="s">
        <v>649</v>
      </c>
      <c r="B138" s="2">
        <v>46127</v>
      </c>
      <c r="C138" t="s">
        <v>133</v>
      </c>
      <c r="D138" t="s">
        <v>26</v>
      </c>
      <c r="E138" t="s">
        <v>49</v>
      </c>
      <c r="F138" t="s">
        <v>157</v>
      </c>
      <c r="G138">
        <v>3</v>
      </c>
      <c r="H138">
        <v>1800</v>
      </c>
      <c r="I138">
        <v>10</v>
      </c>
      <c r="J138" t="s">
        <v>55</v>
      </c>
      <c r="K138" t="s">
        <v>36</v>
      </c>
      <c r="L138">
        <v>4860</v>
      </c>
      <c r="M138" t="s">
        <v>768</v>
      </c>
      <c r="N138">
        <v>4</v>
      </c>
      <c r="O138" s="2">
        <v>46113</v>
      </c>
    </row>
    <row r="139" spans="1:15" x14ac:dyDescent="0.3">
      <c r="A139" t="s">
        <v>520</v>
      </c>
      <c r="B139" s="2">
        <v>46076</v>
      </c>
      <c r="C139" t="s">
        <v>125</v>
      </c>
      <c r="D139" t="s">
        <v>14</v>
      </c>
      <c r="E139" t="s">
        <v>34</v>
      </c>
      <c r="F139" t="s">
        <v>100</v>
      </c>
      <c r="G139">
        <v>4</v>
      </c>
      <c r="H139">
        <v>1200</v>
      </c>
      <c r="I139">
        <v>0</v>
      </c>
      <c r="J139" t="s">
        <v>51</v>
      </c>
      <c r="K139" t="s">
        <v>22</v>
      </c>
      <c r="L139">
        <v>4800</v>
      </c>
      <c r="M139" t="s">
        <v>765</v>
      </c>
      <c r="N139">
        <v>2</v>
      </c>
      <c r="O139" s="2">
        <v>46054</v>
      </c>
    </row>
    <row r="140" spans="1:15" x14ac:dyDescent="0.3">
      <c r="A140" t="s">
        <v>659</v>
      </c>
      <c r="B140" s="2">
        <v>46124</v>
      </c>
      <c r="C140" t="s">
        <v>95</v>
      </c>
      <c r="D140" t="s">
        <v>40</v>
      </c>
      <c r="E140" t="s">
        <v>34</v>
      </c>
      <c r="F140" t="s">
        <v>100</v>
      </c>
      <c r="G140">
        <v>5</v>
      </c>
      <c r="H140">
        <v>1200</v>
      </c>
      <c r="I140">
        <v>20</v>
      </c>
      <c r="J140" t="s">
        <v>55</v>
      </c>
      <c r="K140" t="s">
        <v>36</v>
      </c>
      <c r="L140">
        <v>4800</v>
      </c>
      <c r="M140" t="s">
        <v>768</v>
      </c>
      <c r="N140">
        <v>4</v>
      </c>
      <c r="O140" s="2">
        <v>46113</v>
      </c>
    </row>
    <row r="141" spans="1:15" x14ac:dyDescent="0.3">
      <c r="A141" t="s">
        <v>403</v>
      </c>
      <c r="B141" s="2">
        <v>46154</v>
      </c>
      <c r="C141" t="s">
        <v>176</v>
      </c>
      <c r="D141" t="s">
        <v>72</v>
      </c>
      <c r="E141" t="s">
        <v>34</v>
      </c>
      <c r="F141" t="s">
        <v>41</v>
      </c>
      <c r="G141">
        <v>3</v>
      </c>
      <c r="H141">
        <v>1600</v>
      </c>
      <c r="I141">
        <v>0</v>
      </c>
      <c r="J141" t="s">
        <v>55</v>
      </c>
      <c r="K141" t="s">
        <v>30</v>
      </c>
      <c r="L141">
        <v>4800</v>
      </c>
      <c r="M141" t="s">
        <v>769</v>
      </c>
      <c r="N141">
        <v>5</v>
      </c>
      <c r="O141" s="2">
        <v>46143</v>
      </c>
    </row>
    <row r="142" spans="1:15" x14ac:dyDescent="0.3">
      <c r="A142" t="s">
        <v>740</v>
      </c>
      <c r="B142" s="2">
        <v>46094</v>
      </c>
      <c r="C142" t="s">
        <v>99</v>
      </c>
      <c r="D142" t="s">
        <v>26</v>
      </c>
      <c r="E142" t="s">
        <v>15</v>
      </c>
      <c r="F142" t="s">
        <v>146</v>
      </c>
      <c r="G142">
        <v>2</v>
      </c>
      <c r="H142">
        <v>2500</v>
      </c>
      <c r="I142">
        <v>5</v>
      </c>
      <c r="J142" t="s">
        <v>51</v>
      </c>
      <c r="K142" t="s">
        <v>36</v>
      </c>
      <c r="L142">
        <v>4750</v>
      </c>
      <c r="M142" t="s">
        <v>767</v>
      </c>
      <c r="N142">
        <v>3</v>
      </c>
      <c r="O142" s="2">
        <v>46082</v>
      </c>
    </row>
    <row r="143" spans="1:15" x14ac:dyDescent="0.3">
      <c r="A143" t="s">
        <v>237</v>
      </c>
      <c r="B143" s="2">
        <v>46111</v>
      </c>
      <c r="C143" t="s">
        <v>109</v>
      </c>
      <c r="D143" t="s">
        <v>26</v>
      </c>
      <c r="E143" t="s">
        <v>27</v>
      </c>
      <c r="F143" t="s">
        <v>128</v>
      </c>
      <c r="G143">
        <v>3</v>
      </c>
      <c r="H143">
        <v>1800</v>
      </c>
      <c r="I143">
        <v>15</v>
      </c>
      <c r="J143" t="s">
        <v>51</v>
      </c>
      <c r="K143" t="s">
        <v>30</v>
      </c>
      <c r="L143">
        <v>4590</v>
      </c>
      <c r="M143" t="s">
        <v>767</v>
      </c>
      <c r="N143">
        <v>3</v>
      </c>
      <c r="O143" s="2">
        <v>46082</v>
      </c>
    </row>
    <row r="144" spans="1:15" x14ac:dyDescent="0.3">
      <c r="A144" t="s">
        <v>399</v>
      </c>
      <c r="B144" s="2">
        <v>46027</v>
      </c>
      <c r="C144" t="s">
        <v>54</v>
      </c>
      <c r="D144" t="s">
        <v>40</v>
      </c>
      <c r="E144" t="s">
        <v>34</v>
      </c>
      <c r="F144" t="s">
        <v>41</v>
      </c>
      <c r="G144">
        <v>3</v>
      </c>
      <c r="H144">
        <v>1600</v>
      </c>
      <c r="I144">
        <v>5</v>
      </c>
      <c r="J144" t="s">
        <v>764</v>
      </c>
      <c r="K144" t="s">
        <v>30</v>
      </c>
      <c r="L144">
        <v>4560</v>
      </c>
      <c r="M144" t="s">
        <v>763</v>
      </c>
      <c r="N144">
        <v>1</v>
      </c>
      <c r="O144" s="2">
        <v>46023</v>
      </c>
    </row>
    <row r="145" spans="1:15" x14ac:dyDescent="0.3">
      <c r="A145" t="s">
        <v>230</v>
      </c>
      <c r="B145" s="2">
        <v>46106</v>
      </c>
      <c r="C145" t="s">
        <v>71</v>
      </c>
      <c r="D145" t="s">
        <v>72</v>
      </c>
      <c r="E145" t="s">
        <v>15</v>
      </c>
      <c r="F145" t="s">
        <v>146</v>
      </c>
      <c r="G145">
        <v>2</v>
      </c>
      <c r="H145">
        <v>2500</v>
      </c>
      <c r="I145">
        <v>10</v>
      </c>
      <c r="J145" t="s">
        <v>51</v>
      </c>
      <c r="K145" t="s">
        <v>30</v>
      </c>
      <c r="L145">
        <v>4500</v>
      </c>
      <c r="M145" t="s">
        <v>767</v>
      </c>
      <c r="N145">
        <v>3</v>
      </c>
      <c r="O145" s="2">
        <v>46082</v>
      </c>
    </row>
    <row r="146" spans="1:15" x14ac:dyDescent="0.3">
      <c r="A146" t="s">
        <v>750</v>
      </c>
      <c r="B146" s="2">
        <v>46189</v>
      </c>
      <c r="C146" t="s">
        <v>21</v>
      </c>
      <c r="D146" t="s">
        <v>26</v>
      </c>
      <c r="E146" t="s">
        <v>15</v>
      </c>
      <c r="F146" t="s">
        <v>78</v>
      </c>
      <c r="G146">
        <v>5</v>
      </c>
      <c r="H146">
        <v>900</v>
      </c>
      <c r="I146">
        <v>0</v>
      </c>
      <c r="J146" t="s">
        <v>764</v>
      </c>
      <c r="K146" t="s">
        <v>22</v>
      </c>
      <c r="L146">
        <v>4500</v>
      </c>
      <c r="M146" t="s">
        <v>770</v>
      </c>
      <c r="N146">
        <v>6</v>
      </c>
      <c r="O146" s="2">
        <v>46174</v>
      </c>
    </row>
    <row r="147" spans="1:15" x14ac:dyDescent="0.3">
      <c r="A147" t="s">
        <v>701</v>
      </c>
      <c r="B147" s="2">
        <v>46181</v>
      </c>
      <c r="C147" t="s">
        <v>142</v>
      </c>
      <c r="D147" t="s">
        <v>26</v>
      </c>
      <c r="E147" t="s">
        <v>15</v>
      </c>
      <c r="F147" t="s">
        <v>45</v>
      </c>
      <c r="G147">
        <v>1</v>
      </c>
      <c r="H147">
        <v>4500</v>
      </c>
      <c r="I147">
        <v>0</v>
      </c>
      <c r="J147" t="s">
        <v>29</v>
      </c>
      <c r="K147" t="s">
        <v>22</v>
      </c>
      <c r="L147">
        <v>4500</v>
      </c>
      <c r="M147" t="s">
        <v>770</v>
      </c>
      <c r="N147">
        <v>6</v>
      </c>
      <c r="O147" s="2">
        <v>46174</v>
      </c>
    </row>
    <row r="148" spans="1:15" x14ac:dyDescent="0.3">
      <c r="A148" t="s">
        <v>493</v>
      </c>
      <c r="B148" s="2">
        <v>46078</v>
      </c>
      <c r="C148" t="s">
        <v>33</v>
      </c>
      <c r="D148" t="s">
        <v>40</v>
      </c>
      <c r="E148" t="s">
        <v>49</v>
      </c>
      <c r="F148" t="s">
        <v>351</v>
      </c>
      <c r="G148">
        <v>2</v>
      </c>
      <c r="H148">
        <v>2800</v>
      </c>
      <c r="I148">
        <v>20</v>
      </c>
      <c r="J148" t="s">
        <v>51</v>
      </c>
      <c r="K148" t="s">
        <v>22</v>
      </c>
      <c r="L148">
        <v>4480</v>
      </c>
      <c r="M148" t="s">
        <v>765</v>
      </c>
      <c r="N148">
        <v>2</v>
      </c>
      <c r="O148" s="2">
        <v>46054</v>
      </c>
    </row>
    <row r="149" spans="1:15" x14ac:dyDescent="0.3">
      <c r="A149" t="s">
        <v>504</v>
      </c>
      <c r="B149" s="2">
        <v>46203</v>
      </c>
      <c r="C149" t="s">
        <v>21</v>
      </c>
      <c r="D149" t="s">
        <v>72</v>
      </c>
      <c r="E149" t="s">
        <v>49</v>
      </c>
      <c r="F149" t="s">
        <v>351</v>
      </c>
      <c r="G149">
        <v>2</v>
      </c>
      <c r="H149">
        <v>2800</v>
      </c>
      <c r="I149">
        <v>20</v>
      </c>
      <c r="J149" t="s">
        <v>51</v>
      </c>
      <c r="K149" t="s">
        <v>30</v>
      </c>
      <c r="L149">
        <v>4480</v>
      </c>
      <c r="M149" t="s">
        <v>770</v>
      </c>
      <c r="N149">
        <v>6</v>
      </c>
      <c r="O149" s="2">
        <v>46174</v>
      </c>
    </row>
    <row r="150" spans="1:15" x14ac:dyDescent="0.3">
      <c r="A150" t="s">
        <v>199</v>
      </c>
      <c r="B150" s="2">
        <v>46039</v>
      </c>
      <c r="C150" t="s">
        <v>109</v>
      </c>
      <c r="D150" t="s">
        <v>72</v>
      </c>
      <c r="E150" t="s">
        <v>49</v>
      </c>
      <c r="F150" t="s">
        <v>157</v>
      </c>
      <c r="G150">
        <v>3</v>
      </c>
      <c r="H150">
        <v>1800</v>
      </c>
      <c r="I150">
        <v>20</v>
      </c>
      <c r="J150" t="s">
        <v>29</v>
      </c>
      <c r="K150" t="s">
        <v>18</v>
      </c>
      <c r="L150">
        <v>4320</v>
      </c>
      <c r="M150" t="s">
        <v>763</v>
      </c>
      <c r="N150">
        <v>1</v>
      </c>
      <c r="O150" s="2">
        <v>46023</v>
      </c>
    </row>
    <row r="151" spans="1:15" x14ac:dyDescent="0.3">
      <c r="A151" t="s">
        <v>570</v>
      </c>
      <c r="B151" s="2">
        <v>46066</v>
      </c>
      <c r="C151" t="s">
        <v>179</v>
      </c>
      <c r="D151" t="s">
        <v>26</v>
      </c>
      <c r="E151" t="s">
        <v>27</v>
      </c>
      <c r="F151" t="s">
        <v>128</v>
      </c>
      <c r="G151">
        <v>3</v>
      </c>
      <c r="H151">
        <v>1800</v>
      </c>
      <c r="I151">
        <v>20</v>
      </c>
      <c r="J151" t="s">
        <v>51</v>
      </c>
      <c r="K151" t="s">
        <v>36</v>
      </c>
      <c r="L151">
        <v>4320</v>
      </c>
      <c r="M151" t="s">
        <v>765</v>
      </c>
      <c r="N151">
        <v>2</v>
      </c>
      <c r="O151" s="2">
        <v>46054</v>
      </c>
    </row>
    <row r="152" spans="1:15" x14ac:dyDescent="0.3">
      <c r="A152" t="s">
        <v>530</v>
      </c>
      <c r="B152" s="2">
        <v>46128</v>
      </c>
      <c r="C152" t="s">
        <v>176</v>
      </c>
      <c r="D152" t="s">
        <v>40</v>
      </c>
      <c r="E152" t="s">
        <v>15</v>
      </c>
      <c r="F152" t="s">
        <v>78</v>
      </c>
      <c r="G152">
        <v>5</v>
      </c>
      <c r="H152">
        <v>900</v>
      </c>
      <c r="I152">
        <v>5</v>
      </c>
      <c r="J152" t="s">
        <v>55</v>
      </c>
      <c r="K152" t="s">
        <v>18</v>
      </c>
      <c r="L152">
        <v>4275</v>
      </c>
      <c r="M152" t="s">
        <v>768</v>
      </c>
      <c r="N152">
        <v>4</v>
      </c>
      <c r="O152" s="2">
        <v>46113</v>
      </c>
    </row>
    <row r="153" spans="1:15" x14ac:dyDescent="0.3">
      <c r="A153" t="s">
        <v>412</v>
      </c>
      <c r="B153" s="2">
        <v>46118</v>
      </c>
      <c r="C153" t="s">
        <v>25</v>
      </c>
      <c r="D153" t="s">
        <v>40</v>
      </c>
      <c r="E153" t="s">
        <v>65</v>
      </c>
      <c r="F153" t="s">
        <v>96</v>
      </c>
      <c r="G153">
        <v>5</v>
      </c>
      <c r="H153">
        <v>900</v>
      </c>
      <c r="I153">
        <v>5</v>
      </c>
      <c r="J153" t="s">
        <v>51</v>
      </c>
      <c r="K153" t="s">
        <v>18</v>
      </c>
      <c r="L153">
        <v>4275</v>
      </c>
      <c r="M153" t="s">
        <v>768</v>
      </c>
      <c r="N153">
        <v>4</v>
      </c>
      <c r="O153" s="2">
        <v>46113</v>
      </c>
    </row>
    <row r="154" spans="1:15" x14ac:dyDescent="0.3">
      <c r="A154" t="s">
        <v>591</v>
      </c>
      <c r="B154" s="2">
        <v>46173</v>
      </c>
      <c r="C154" t="s">
        <v>61</v>
      </c>
      <c r="D154" t="s">
        <v>40</v>
      </c>
      <c r="E154" t="s">
        <v>15</v>
      </c>
      <c r="F154" t="s">
        <v>16</v>
      </c>
      <c r="G154">
        <v>3</v>
      </c>
      <c r="H154">
        <v>1500</v>
      </c>
      <c r="I154">
        <v>5</v>
      </c>
      <c r="J154" t="s">
        <v>764</v>
      </c>
      <c r="K154" t="s">
        <v>36</v>
      </c>
      <c r="L154">
        <v>4275</v>
      </c>
      <c r="M154" t="s">
        <v>769</v>
      </c>
      <c r="N154">
        <v>5</v>
      </c>
      <c r="O154" s="2">
        <v>46143</v>
      </c>
    </row>
    <row r="155" spans="1:15" x14ac:dyDescent="0.3">
      <c r="A155" t="s">
        <v>589</v>
      </c>
      <c r="B155" s="2">
        <v>46051</v>
      </c>
      <c r="C155" t="s">
        <v>13</v>
      </c>
      <c r="D155" t="s">
        <v>72</v>
      </c>
      <c r="E155" t="s">
        <v>65</v>
      </c>
      <c r="F155" t="s">
        <v>66</v>
      </c>
      <c r="G155">
        <v>5</v>
      </c>
      <c r="H155">
        <v>850</v>
      </c>
      <c r="I155">
        <v>0</v>
      </c>
      <c r="J155" t="s">
        <v>764</v>
      </c>
      <c r="K155" t="s">
        <v>30</v>
      </c>
      <c r="L155">
        <v>4250</v>
      </c>
      <c r="M155" t="s">
        <v>763</v>
      </c>
      <c r="N155">
        <v>1</v>
      </c>
      <c r="O155" s="2">
        <v>46023</v>
      </c>
    </row>
    <row r="156" spans="1:15" x14ac:dyDescent="0.3">
      <c r="A156" t="s">
        <v>270</v>
      </c>
      <c r="B156" s="2">
        <v>46096</v>
      </c>
      <c r="C156" t="s">
        <v>154</v>
      </c>
      <c r="D156" t="s">
        <v>72</v>
      </c>
      <c r="E156" t="s">
        <v>65</v>
      </c>
      <c r="F156" t="s">
        <v>66</v>
      </c>
      <c r="G156">
        <v>5</v>
      </c>
      <c r="H156">
        <v>850</v>
      </c>
      <c r="I156">
        <v>0</v>
      </c>
      <c r="J156" t="s">
        <v>29</v>
      </c>
      <c r="K156" t="s">
        <v>36</v>
      </c>
      <c r="L156">
        <v>4250</v>
      </c>
      <c r="M156" t="s">
        <v>767</v>
      </c>
      <c r="N156">
        <v>3</v>
      </c>
      <c r="O156" s="2">
        <v>46082</v>
      </c>
    </row>
    <row r="157" spans="1:15" x14ac:dyDescent="0.3">
      <c r="A157" t="s">
        <v>503</v>
      </c>
      <c r="B157" s="2">
        <v>46100</v>
      </c>
      <c r="C157" t="s">
        <v>84</v>
      </c>
      <c r="D157" t="s">
        <v>40</v>
      </c>
      <c r="E157" t="s">
        <v>49</v>
      </c>
      <c r="F157" t="s">
        <v>50</v>
      </c>
      <c r="G157">
        <v>2</v>
      </c>
      <c r="H157">
        <v>2200</v>
      </c>
      <c r="I157">
        <v>5</v>
      </c>
      <c r="J157" t="s">
        <v>764</v>
      </c>
      <c r="K157" t="s">
        <v>18</v>
      </c>
      <c r="L157">
        <v>4180</v>
      </c>
      <c r="M157" t="s">
        <v>767</v>
      </c>
      <c r="N157">
        <v>3</v>
      </c>
      <c r="O157" s="2">
        <v>46082</v>
      </c>
    </row>
    <row r="158" spans="1:15" x14ac:dyDescent="0.3">
      <c r="A158" t="s">
        <v>197</v>
      </c>
      <c r="B158" s="2">
        <v>46108</v>
      </c>
      <c r="C158" t="s">
        <v>179</v>
      </c>
      <c r="D158" t="s">
        <v>40</v>
      </c>
      <c r="E158" t="s">
        <v>49</v>
      </c>
      <c r="F158" t="s">
        <v>50</v>
      </c>
      <c r="G158">
        <v>2</v>
      </c>
      <c r="H158">
        <v>2200</v>
      </c>
      <c r="I158">
        <v>5</v>
      </c>
      <c r="J158" t="s">
        <v>55</v>
      </c>
      <c r="K158" t="s">
        <v>18</v>
      </c>
      <c r="L158">
        <v>4180</v>
      </c>
      <c r="M158" t="s">
        <v>767</v>
      </c>
      <c r="N158">
        <v>3</v>
      </c>
      <c r="O158" s="2">
        <v>46082</v>
      </c>
    </row>
    <row r="159" spans="1:15" x14ac:dyDescent="0.3">
      <c r="A159" t="s">
        <v>436</v>
      </c>
      <c r="B159" s="2">
        <v>46170</v>
      </c>
      <c r="C159" t="s">
        <v>88</v>
      </c>
      <c r="D159" t="s">
        <v>26</v>
      </c>
      <c r="E159" t="s">
        <v>49</v>
      </c>
      <c r="F159" t="s">
        <v>50</v>
      </c>
      <c r="G159">
        <v>2</v>
      </c>
      <c r="H159">
        <v>2200</v>
      </c>
      <c r="I159">
        <v>5</v>
      </c>
      <c r="J159" t="s">
        <v>29</v>
      </c>
      <c r="K159" t="s">
        <v>18</v>
      </c>
      <c r="L159">
        <v>4180</v>
      </c>
      <c r="M159" t="s">
        <v>769</v>
      </c>
      <c r="N159">
        <v>5</v>
      </c>
      <c r="O159" s="2">
        <v>46143</v>
      </c>
    </row>
    <row r="160" spans="1:15" x14ac:dyDescent="0.3">
      <c r="A160" t="s">
        <v>643</v>
      </c>
      <c r="B160" s="2">
        <v>46023</v>
      </c>
      <c r="C160" t="s">
        <v>117</v>
      </c>
      <c r="D160" t="s">
        <v>72</v>
      </c>
      <c r="E160" t="s">
        <v>34</v>
      </c>
      <c r="F160" t="s">
        <v>100</v>
      </c>
      <c r="G160">
        <v>4</v>
      </c>
      <c r="H160">
        <v>1200</v>
      </c>
      <c r="I160">
        <v>15</v>
      </c>
      <c r="J160" t="s">
        <v>55</v>
      </c>
      <c r="K160" t="s">
        <v>18</v>
      </c>
      <c r="L160">
        <v>4080</v>
      </c>
      <c r="M160" t="s">
        <v>763</v>
      </c>
      <c r="N160">
        <v>1</v>
      </c>
      <c r="O160" s="2">
        <v>46023</v>
      </c>
    </row>
    <row r="161" spans="1:15" x14ac:dyDescent="0.3">
      <c r="A161" t="s">
        <v>610</v>
      </c>
      <c r="B161" s="2">
        <v>46075</v>
      </c>
      <c r="C161" t="s">
        <v>166</v>
      </c>
      <c r="D161" t="s">
        <v>14</v>
      </c>
      <c r="E161" t="s">
        <v>34</v>
      </c>
      <c r="F161" t="s">
        <v>100</v>
      </c>
      <c r="G161">
        <v>4</v>
      </c>
      <c r="H161">
        <v>1200</v>
      </c>
      <c r="I161">
        <v>15</v>
      </c>
      <c r="J161" t="s">
        <v>764</v>
      </c>
      <c r="K161" t="s">
        <v>22</v>
      </c>
      <c r="L161">
        <v>4080</v>
      </c>
      <c r="M161" t="s">
        <v>765</v>
      </c>
      <c r="N161">
        <v>2</v>
      </c>
      <c r="O161" s="2">
        <v>46054</v>
      </c>
    </row>
    <row r="162" spans="1:15" x14ac:dyDescent="0.3">
      <c r="A162" t="s">
        <v>507</v>
      </c>
      <c r="B162" s="2">
        <v>46079</v>
      </c>
      <c r="C162" t="s">
        <v>88</v>
      </c>
      <c r="D162" t="s">
        <v>14</v>
      </c>
      <c r="E162" t="s">
        <v>15</v>
      </c>
      <c r="F162" t="s">
        <v>45</v>
      </c>
      <c r="G162">
        <v>1</v>
      </c>
      <c r="H162">
        <v>4500</v>
      </c>
      <c r="I162">
        <v>10</v>
      </c>
      <c r="J162" t="s">
        <v>29</v>
      </c>
      <c r="K162" t="s">
        <v>30</v>
      </c>
      <c r="L162">
        <v>4050</v>
      </c>
      <c r="M162" t="s">
        <v>765</v>
      </c>
      <c r="N162">
        <v>2</v>
      </c>
      <c r="O162" s="2">
        <v>46054</v>
      </c>
    </row>
    <row r="163" spans="1:15" x14ac:dyDescent="0.3">
      <c r="A163" t="s">
        <v>59</v>
      </c>
      <c r="B163" s="2">
        <v>46091</v>
      </c>
      <c r="C163" t="s">
        <v>61</v>
      </c>
      <c r="D163" t="s">
        <v>14</v>
      </c>
      <c r="E163" t="s">
        <v>34</v>
      </c>
      <c r="F163" t="s">
        <v>62</v>
      </c>
      <c r="G163">
        <v>5</v>
      </c>
      <c r="H163">
        <v>900</v>
      </c>
      <c r="I163">
        <v>10</v>
      </c>
      <c r="J163" t="s">
        <v>55</v>
      </c>
      <c r="K163" t="s">
        <v>18</v>
      </c>
      <c r="L163">
        <v>4050</v>
      </c>
      <c r="M163" t="s">
        <v>767</v>
      </c>
      <c r="N163">
        <v>3</v>
      </c>
      <c r="O163" s="2">
        <v>46082</v>
      </c>
    </row>
    <row r="164" spans="1:15" x14ac:dyDescent="0.3">
      <c r="A164" t="s">
        <v>221</v>
      </c>
      <c r="B164" s="2">
        <v>46199</v>
      </c>
      <c r="C164" t="s">
        <v>44</v>
      </c>
      <c r="D164" t="s">
        <v>14</v>
      </c>
      <c r="E164" t="s">
        <v>15</v>
      </c>
      <c r="F164" t="s">
        <v>45</v>
      </c>
      <c r="G164">
        <v>1</v>
      </c>
      <c r="H164">
        <v>4500</v>
      </c>
      <c r="I164">
        <v>10</v>
      </c>
      <c r="J164" t="s">
        <v>764</v>
      </c>
      <c r="K164" t="s">
        <v>36</v>
      </c>
      <c r="L164">
        <v>4050</v>
      </c>
      <c r="M164" t="s">
        <v>770</v>
      </c>
      <c r="N164">
        <v>6</v>
      </c>
      <c r="O164" s="2">
        <v>46174</v>
      </c>
    </row>
    <row r="165" spans="1:15" x14ac:dyDescent="0.3">
      <c r="A165" t="s">
        <v>710</v>
      </c>
      <c r="B165" s="2">
        <v>46174</v>
      </c>
      <c r="C165" t="s">
        <v>196</v>
      </c>
      <c r="D165" t="s">
        <v>72</v>
      </c>
      <c r="E165" t="s">
        <v>15</v>
      </c>
      <c r="F165" t="s">
        <v>146</v>
      </c>
      <c r="G165">
        <v>2</v>
      </c>
      <c r="H165">
        <v>2500</v>
      </c>
      <c r="I165">
        <v>20</v>
      </c>
      <c r="J165" t="s">
        <v>29</v>
      </c>
      <c r="K165" t="s">
        <v>30</v>
      </c>
      <c r="L165">
        <v>4000</v>
      </c>
      <c r="M165" t="s">
        <v>770</v>
      </c>
      <c r="N165">
        <v>6</v>
      </c>
      <c r="O165" s="2">
        <v>46174</v>
      </c>
    </row>
    <row r="166" spans="1:15" x14ac:dyDescent="0.3">
      <c r="A166" t="s">
        <v>162</v>
      </c>
      <c r="B166" s="2">
        <v>46040</v>
      </c>
      <c r="C166" t="s">
        <v>33</v>
      </c>
      <c r="D166" t="s">
        <v>26</v>
      </c>
      <c r="E166" t="s">
        <v>34</v>
      </c>
      <c r="F166" t="s">
        <v>41</v>
      </c>
      <c r="G166">
        <v>3</v>
      </c>
      <c r="H166">
        <v>1600</v>
      </c>
      <c r="I166">
        <v>20</v>
      </c>
      <c r="J166" t="s">
        <v>29</v>
      </c>
      <c r="K166" t="s">
        <v>30</v>
      </c>
      <c r="L166">
        <v>3840</v>
      </c>
      <c r="M166" t="s">
        <v>763</v>
      </c>
      <c r="N166">
        <v>1</v>
      </c>
      <c r="O166" s="2">
        <v>46023</v>
      </c>
    </row>
    <row r="167" spans="1:15" x14ac:dyDescent="0.3">
      <c r="A167" t="s">
        <v>558</v>
      </c>
      <c r="B167" s="2">
        <v>46140</v>
      </c>
      <c r="C167" t="s">
        <v>215</v>
      </c>
      <c r="D167" t="s">
        <v>14</v>
      </c>
      <c r="E167" t="s">
        <v>34</v>
      </c>
      <c r="F167" t="s">
        <v>41</v>
      </c>
      <c r="G167">
        <v>3</v>
      </c>
      <c r="H167">
        <v>1600</v>
      </c>
      <c r="I167">
        <v>20</v>
      </c>
      <c r="J167" t="s">
        <v>764</v>
      </c>
      <c r="K167" t="s">
        <v>22</v>
      </c>
      <c r="L167">
        <v>3840</v>
      </c>
      <c r="M167" t="s">
        <v>768</v>
      </c>
      <c r="N167">
        <v>4</v>
      </c>
      <c r="O167" s="2">
        <v>46113</v>
      </c>
    </row>
    <row r="168" spans="1:15" x14ac:dyDescent="0.3">
      <c r="A168" t="s">
        <v>562</v>
      </c>
      <c r="B168" s="2">
        <v>46147</v>
      </c>
      <c r="C168" t="s">
        <v>105</v>
      </c>
      <c r="D168" t="s">
        <v>14</v>
      </c>
      <c r="E168" t="s">
        <v>34</v>
      </c>
      <c r="F168" t="s">
        <v>100</v>
      </c>
      <c r="G168">
        <v>4</v>
      </c>
      <c r="H168">
        <v>1200</v>
      </c>
      <c r="I168">
        <v>20</v>
      </c>
      <c r="J168" t="s">
        <v>29</v>
      </c>
      <c r="K168" t="s">
        <v>18</v>
      </c>
      <c r="L168">
        <v>3840</v>
      </c>
      <c r="M168" t="s">
        <v>769</v>
      </c>
      <c r="N168">
        <v>5</v>
      </c>
      <c r="O168" s="2">
        <v>46143</v>
      </c>
    </row>
    <row r="169" spans="1:15" x14ac:dyDescent="0.3">
      <c r="A169" t="s">
        <v>300</v>
      </c>
      <c r="B169" s="2">
        <v>46050</v>
      </c>
      <c r="C169" t="s">
        <v>13</v>
      </c>
      <c r="D169" t="s">
        <v>72</v>
      </c>
      <c r="E169" t="s">
        <v>65</v>
      </c>
      <c r="F169" t="s">
        <v>66</v>
      </c>
      <c r="G169">
        <v>5</v>
      </c>
      <c r="H169">
        <v>850</v>
      </c>
      <c r="I169">
        <v>10</v>
      </c>
      <c r="J169" t="s">
        <v>51</v>
      </c>
      <c r="K169" t="s">
        <v>30</v>
      </c>
      <c r="L169">
        <v>3825</v>
      </c>
      <c r="M169" t="s">
        <v>763</v>
      </c>
      <c r="N169">
        <v>1</v>
      </c>
      <c r="O169" s="2">
        <v>46023</v>
      </c>
    </row>
    <row r="170" spans="1:15" x14ac:dyDescent="0.3">
      <c r="A170" t="s">
        <v>409</v>
      </c>
      <c r="B170" s="2">
        <v>46137</v>
      </c>
      <c r="C170" t="s">
        <v>117</v>
      </c>
      <c r="D170" t="s">
        <v>26</v>
      </c>
      <c r="E170" t="s">
        <v>65</v>
      </c>
      <c r="F170" t="s">
        <v>96</v>
      </c>
      <c r="G170">
        <v>5</v>
      </c>
      <c r="H170">
        <v>900</v>
      </c>
      <c r="I170">
        <v>15</v>
      </c>
      <c r="J170" t="s">
        <v>51</v>
      </c>
      <c r="K170" t="s">
        <v>36</v>
      </c>
      <c r="L170">
        <v>3825</v>
      </c>
      <c r="M170" t="s">
        <v>768</v>
      </c>
      <c r="N170">
        <v>4</v>
      </c>
      <c r="O170" s="2">
        <v>46113</v>
      </c>
    </row>
    <row r="171" spans="1:15" x14ac:dyDescent="0.3">
      <c r="A171" t="s">
        <v>120</v>
      </c>
      <c r="B171" s="2">
        <v>46139</v>
      </c>
      <c r="C171" t="s">
        <v>122</v>
      </c>
      <c r="D171" t="s">
        <v>72</v>
      </c>
      <c r="E171" t="s">
        <v>65</v>
      </c>
      <c r="F171" t="s">
        <v>96</v>
      </c>
      <c r="G171">
        <v>5</v>
      </c>
      <c r="H171">
        <v>900</v>
      </c>
      <c r="I171">
        <v>15</v>
      </c>
      <c r="J171" t="s">
        <v>55</v>
      </c>
      <c r="K171" t="s">
        <v>22</v>
      </c>
      <c r="L171">
        <v>3825</v>
      </c>
      <c r="M171" t="s">
        <v>768</v>
      </c>
      <c r="N171">
        <v>4</v>
      </c>
      <c r="O171" s="2">
        <v>46113</v>
      </c>
    </row>
    <row r="172" spans="1:15" x14ac:dyDescent="0.3">
      <c r="A172" t="s">
        <v>557</v>
      </c>
      <c r="B172" s="2">
        <v>46158</v>
      </c>
      <c r="C172" t="s">
        <v>249</v>
      </c>
      <c r="D172" t="s">
        <v>26</v>
      </c>
      <c r="E172" t="s">
        <v>34</v>
      </c>
      <c r="F172" t="s">
        <v>62</v>
      </c>
      <c r="G172">
        <v>5</v>
      </c>
      <c r="H172">
        <v>900</v>
      </c>
      <c r="I172">
        <v>15</v>
      </c>
      <c r="J172" t="s">
        <v>29</v>
      </c>
      <c r="K172" t="s">
        <v>36</v>
      </c>
      <c r="L172">
        <v>3825</v>
      </c>
      <c r="M172" t="s">
        <v>769</v>
      </c>
      <c r="N172">
        <v>5</v>
      </c>
      <c r="O172" s="2">
        <v>46143</v>
      </c>
    </row>
    <row r="173" spans="1:15" x14ac:dyDescent="0.3">
      <c r="A173" t="s">
        <v>349</v>
      </c>
      <c r="B173" s="2">
        <v>46192</v>
      </c>
      <c r="C173" t="s">
        <v>109</v>
      </c>
      <c r="D173" t="s">
        <v>72</v>
      </c>
      <c r="E173" t="s">
        <v>34</v>
      </c>
      <c r="F173" t="s">
        <v>62</v>
      </c>
      <c r="G173">
        <v>5</v>
      </c>
      <c r="H173">
        <v>900</v>
      </c>
      <c r="I173">
        <v>15</v>
      </c>
      <c r="J173" t="s">
        <v>29</v>
      </c>
      <c r="K173" t="s">
        <v>30</v>
      </c>
      <c r="L173">
        <v>3825</v>
      </c>
      <c r="M173" t="s">
        <v>770</v>
      </c>
      <c r="N173">
        <v>6</v>
      </c>
      <c r="O173" s="2">
        <v>46174</v>
      </c>
    </row>
    <row r="174" spans="1:15" x14ac:dyDescent="0.3">
      <c r="A174" t="s">
        <v>308</v>
      </c>
      <c r="B174" s="2">
        <v>46195</v>
      </c>
      <c r="C174" t="s">
        <v>88</v>
      </c>
      <c r="D174" t="s">
        <v>26</v>
      </c>
      <c r="E174" t="s">
        <v>65</v>
      </c>
      <c r="F174" t="s">
        <v>96</v>
      </c>
      <c r="G174">
        <v>5</v>
      </c>
      <c r="H174">
        <v>900</v>
      </c>
      <c r="I174">
        <v>15</v>
      </c>
      <c r="J174" t="s">
        <v>51</v>
      </c>
      <c r="K174" t="s">
        <v>36</v>
      </c>
      <c r="L174">
        <v>3825</v>
      </c>
      <c r="M174" t="s">
        <v>770</v>
      </c>
      <c r="N174">
        <v>6</v>
      </c>
      <c r="O174" s="2">
        <v>46174</v>
      </c>
    </row>
    <row r="175" spans="1:15" x14ac:dyDescent="0.3">
      <c r="A175" t="s">
        <v>472</v>
      </c>
      <c r="B175" s="2">
        <v>46025</v>
      </c>
      <c r="C175" t="s">
        <v>39</v>
      </c>
      <c r="D175" t="s">
        <v>26</v>
      </c>
      <c r="E175" t="s">
        <v>27</v>
      </c>
      <c r="F175" t="s">
        <v>128</v>
      </c>
      <c r="G175">
        <v>2</v>
      </c>
      <c r="H175">
        <v>1800</v>
      </c>
      <c r="I175">
        <v>0</v>
      </c>
      <c r="J175" t="s">
        <v>764</v>
      </c>
      <c r="K175" t="s">
        <v>18</v>
      </c>
      <c r="L175">
        <v>3600</v>
      </c>
      <c r="M175" t="s">
        <v>763</v>
      </c>
      <c r="N175">
        <v>1</v>
      </c>
      <c r="O175" s="2">
        <v>46023</v>
      </c>
    </row>
    <row r="176" spans="1:15" x14ac:dyDescent="0.3">
      <c r="A176" t="s">
        <v>393</v>
      </c>
      <c r="B176" s="2">
        <v>46078</v>
      </c>
      <c r="C176" t="s">
        <v>44</v>
      </c>
      <c r="D176" t="s">
        <v>14</v>
      </c>
      <c r="E176" t="s">
        <v>15</v>
      </c>
      <c r="F176" t="s">
        <v>78</v>
      </c>
      <c r="G176">
        <v>5</v>
      </c>
      <c r="H176">
        <v>900</v>
      </c>
      <c r="I176">
        <v>20</v>
      </c>
      <c r="J176" t="s">
        <v>29</v>
      </c>
      <c r="K176" t="s">
        <v>36</v>
      </c>
      <c r="L176">
        <v>3600</v>
      </c>
      <c r="M176" t="s">
        <v>765</v>
      </c>
      <c r="N176">
        <v>2</v>
      </c>
      <c r="O176" s="2">
        <v>46054</v>
      </c>
    </row>
    <row r="177" spans="1:15" x14ac:dyDescent="0.3">
      <c r="A177" t="s">
        <v>126</v>
      </c>
      <c r="B177" s="2">
        <v>46063</v>
      </c>
      <c r="C177" t="s">
        <v>117</v>
      </c>
      <c r="D177" t="s">
        <v>40</v>
      </c>
      <c r="E177" t="s">
        <v>27</v>
      </c>
      <c r="F177" t="s">
        <v>128</v>
      </c>
      <c r="G177">
        <v>2</v>
      </c>
      <c r="H177">
        <v>1800</v>
      </c>
      <c r="I177">
        <v>0</v>
      </c>
      <c r="J177" t="s">
        <v>764</v>
      </c>
      <c r="K177" t="s">
        <v>22</v>
      </c>
      <c r="L177">
        <v>3600</v>
      </c>
      <c r="M177" t="s">
        <v>765</v>
      </c>
      <c r="N177">
        <v>2</v>
      </c>
      <c r="O177" s="2">
        <v>46054</v>
      </c>
    </row>
    <row r="178" spans="1:15" x14ac:dyDescent="0.3">
      <c r="A178" t="s">
        <v>245</v>
      </c>
      <c r="B178" s="2">
        <v>46070</v>
      </c>
      <c r="C178" t="s">
        <v>117</v>
      </c>
      <c r="D178" t="s">
        <v>26</v>
      </c>
      <c r="E178" t="s">
        <v>65</v>
      </c>
      <c r="F178" t="s">
        <v>96</v>
      </c>
      <c r="G178">
        <v>4</v>
      </c>
      <c r="H178">
        <v>900</v>
      </c>
      <c r="I178">
        <v>0</v>
      </c>
      <c r="J178" t="s">
        <v>764</v>
      </c>
      <c r="K178" t="s">
        <v>18</v>
      </c>
      <c r="L178">
        <v>3600</v>
      </c>
      <c r="M178" t="s">
        <v>765</v>
      </c>
      <c r="N178">
        <v>2</v>
      </c>
      <c r="O178" s="2">
        <v>46054</v>
      </c>
    </row>
    <row r="179" spans="1:15" x14ac:dyDescent="0.3">
      <c r="A179" t="s">
        <v>539</v>
      </c>
      <c r="B179" s="2">
        <v>46116</v>
      </c>
      <c r="C179" t="s">
        <v>142</v>
      </c>
      <c r="D179" t="s">
        <v>14</v>
      </c>
      <c r="E179" t="s">
        <v>34</v>
      </c>
      <c r="F179" t="s">
        <v>62</v>
      </c>
      <c r="G179">
        <v>5</v>
      </c>
      <c r="H179">
        <v>900</v>
      </c>
      <c r="I179">
        <v>20</v>
      </c>
      <c r="J179" t="s">
        <v>55</v>
      </c>
      <c r="K179" t="s">
        <v>36</v>
      </c>
      <c r="L179">
        <v>3600</v>
      </c>
      <c r="M179" t="s">
        <v>768</v>
      </c>
      <c r="N179">
        <v>4</v>
      </c>
      <c r="O179" s="2">
        <v>46113</v>
      </c>
    </row>
    <row r="180" spans="1:15" x14ac:dyDescent="0.3">
      <c r="A180" t="s">
        <v>706</v>
      </c>
      <c r="B180" s="2">
        <v>46115</v>
      </c>
      <c r="C180" t="s">
        <v>159</v>
      </c>
      <c r="D180" t="s">
        <v>26</v>
      </c>
      <c r="E180" t="s">
        <v>15</v>
      </c>
      <c r="F180" t="s">
        <v>78</v>
      </c>
      <c r="G180">
        <v>4</v>
      </c>
      <c r="H180">
        <v>900</v>
      </c>
      <c r="I180">
        <v>0</v>
      </c>
      <c r="J180" t="s">
        <v>764</v>
      </c>
      <c r="K180" t="s">
        <v>36</v>
      </c>
      <c r="L180">
        <v>3600</v>
      </c>
      <c r="M180" t="s">
        <v>768</v>
      </c>
      <c r="N180">
        <v>4</v>
      </c>
      <c r="O180" s="2">
        <v>46113</v>
      </c>
    </row>
    <row r="181" spans="1:15" x14ac:dyDescent="0.3">
      <c r="A181" t="s">
        <v>263</v>
      </c>
      <c r="B181" s="2">
        <v>46151</v>
      </c>
      <c r="C181" t="s">
        <v>99</v>
      </c>
      <c r="D181" t="s">
        <v>72</v>
      </c>
      <c r="E181" t="s">
        <v>65</v>
      </c>
      <c r="F181" t="s">
        <v>96</v>
      </c>
      <c r="G181">
        <v>4</v>
      </c>
      <c r="H181">
        <v>900</v>
      </c>
      <c r="I181">
        <v>0</v>
      </c>
      <c r="J181" t="s">
        <v>764</v>
      </c>
      <c r="K181" t="s">
        <v>18</v>
      </c>
      <c r="L181">
        <v>3600</v>
      </c>
      <c r="M181" t="s">
        <v>769</v>
      </c>
      <c r="N181">
        <v>5</v>
      </c>
      <c r="O181" s="2">
        <v>46143</v>
      </c>
    </row>
    <row r="182" spans="1:15" x14ac:dyDescent="0.3">
      <c r="A182" t="s">
        <v>622</v>
      </c>
      <c r="B182" s="2">
        <v>46198</v>
      </c>
      <c r="C182" t="s">
        <v>249</v>
      </c>
      <c r="D182" t="s">
        <v>40</v>
      </c>
      <c r="E182" t="s">
        <v>65</v>
      </c>
      <c r="F182" t="s">
        <v>96</v>
      </c>
      <c r="G182">
        <v>5</v>
      </c>
      <c r="H182">
        <v>900</v>
      </c>
      <c r="I182">
        <v>20</v>
      </c>
      <c r="J182" t="s">
        <v>51</v>
      </c>
      <c r="K182" t="s">
        <v>36</v>
      </c>
      <c r="L182">
        <v>3600</v>
      </c>
      <c r="M182" t="s">
        <v>770</v>
      </c>
      <c r="N182">
        <v>6</v>
      </c>
      <c r="O182" s="2">
        <v>46174</v>
      </c>
    </row>
    <row r="183" spans="1:15" x14ac:dyDescent="0.3">
      <c r="A183" t="s">
        <v>700</v>
      </c>
      <c r="B183" s="2">
        <v>46192</v>
      </c>
      <c r="C183" t="s">
        <v>142</v>
      </c>
      <c r="D183" t="s">
        <v>26</v>
      </c>
      <c r="E183" t="s">
        <v>34</v>
      </c>
      <c r="F183" t="s">
        <v>62</v>
      </c>
      <c r="G183">
        <v>5</v>
      </c>
      <c r="H183">
        <v>900</v>
      </c>
      <c r="I183">
        <v>20</v>
      </c>
      <c r="J183" t="s">
        <v>55</v>
      </c>
      <c r="K183" t="s">
        <v>18</v>
      </c>
      <c r="L183">
        <v>3600</v>
      </c>
      <c r="M183" t="s">
        <v>770</v>
      </c>
      <c r="N183">
        <v>6</v>
      </c>
      <c r="O183" s="2">
        <v>46174</v>
      </c>
    </row>
    <row r="184" spans="1:15" x14ac:dyDescent="0.3">
      <c r="A184" t="s">
        <v>524</v>
      </c>
      <c r="B184" s="2">
        <v>46164</v>
      </c>
      <c r="C184" t="s">
        <v>176</v>
      </c>
      <c r="D184" t="s">
        <v>72</v>
      </c>
      <c r="E184" t="s">
        <v>49</v>
      </c>
      <c r="F184" t="s">
        <v>50</v>
      </c>
      <c r="G184">
        <v>2</v>
      </c>
      <c r="H184">
        <v>2200</v>
      </c>
      <c r="I184">
        <v>20</v>
      </c>
      <c r="J184" t="s">
        <v>29</v>
      </c>
      <c r="K184" t="s">
        <v>36</v>
      </c>
      <c r="L184">
        <v>3520</v>
      </c>
      <c r="M184" t="s">
        <v>769</v>
      </c>
      <c r="N184">
        <v>5</v>
      </c>
      <c r="O184" s="2">
        <v>46143</v>
      </c>
    </row>
    <row r="185" spans="1:15" x14ac:dyDescent="0.3">
      <c r="A185" t="s">
        <v>544</v>
      </c>
      <c r="B185" s="2">
        <v>46191</v>
      </c>
      <c r="C185" t="s">
        <v>154</v>
      </c>
      <c r="D185" t="s">
        <v>26</v>
      </c>
      <c r="E185" t="s">
        <v>15</v>
      </c>
      <c r="F185" t="s">
        <v>73</v>
      </c>
      <c r="G185">
        <v>2</v>
      </c>
      <c r="H185">
        <v>2200</v>
      </c>
      <c r="I185">
        <v>20</v>
      </c>
      <c r="J185" t="s">
        <v>764</v>
      </c>
      <c r="K185" t="s">
        <v>18</v>
      </c>
      <c r="L185">
        <v>3520</v>
      </c>
      <c r="M185" t="s">
        <v>770</v>
      </c>
      <c r="N185">
        <v>6</v>
      </c>
      <c r="O185" s="2">
        <v>46174</v>
      </c>
    </row>
    <row r="186" spans="1:15" x14ac:dyDescent="0.3">
      <c r="A186" t="s">
        <v>31</v>
      </c>
      <c r="B186" s="2">
        <v>46078</v>
      </c>
      <c r="C186" t="s">
        <v>33</v>
      </c>
      <c r="D186" t="s">
        <v>26</v>
      </c>
      <c r="E186" t="s">
        <v>34</v>
      </c>
      <c r="F186" t="s">
        <v>35</v>
      </c>
      <c r="G186">
        <v>1</v>
      </c>
      <c r="H186">
        <v>3500</v>
      </c>
      <c r="I186">
        <v>0</v>
      </c>
      <c r="J186" t="s">
        <v>29</v>
      </c>
      <c r="K186" t="s">
        <v>36</v>
      </c>
      <c r="L186">
        <v>3500</v>
      </c>
      <c r="M186" t="s">
        <v>765</v>
      </c>
      <c r="N186">
        <v>2</v>
      </c>
      <c r="O186" s="2">
        <v>46054</v>
      </c>
    </row>
    <row r="187" spans="1:15" x14ac:dyDescent="0.3">
      <c r="A187" t="s">
        <v>232</v>
      </c>
      <c r="B187" s="2">
        <v>46202</v>
      </c>
      <c r="C187" t="s">
        <v>95</v>
      </c>
      <c r="D187" t="s">
        <v>26</v>
      </c>
      <c r="E187" t="s">
        <v>34</v>
      </c>
      <c r="F187" t="s">
        <v>81</v>
      </c>
      <c r="G187">
        <v>5</v>
      </c>
      <c r="H187">
        <v>700</v>
      </c>
      <c r="I187">
        <v>0</v>
      </c>
      <c r="J187" t="s">
        <v>55</v>
      </c>
      <c r="K187" t="s">
        <v>36</v>
      </c>
      <c r="L187">
        <v>3500</v>
      </c>
      <c r="M187" t="s">
        <v>770</v>
      </c>
      <c r="N187">
        <v>6</v>
      </c>
      <c r="O187" s="2">
        <v>46174</v>
      </c>
    </row>
    <row r="188" spans="1:15" x14ac:dyDescent="0.3">
      <c r="A188" t="s">
        <v>213</v>
      </c>
      <c r="B188" s="2">
        <v>46028</v>
      </c>
      <c r="C188" t="s">
        <v>215</v>
      </c>
      <c r="D188" t="s">
        <v>14</v>
      </c>
      <c r="E188" t="s">
        <v>49</v>
      </c>
      <c r="F188" t="s">
        <v>157</v>
      </c>
      <c r="G188">
        <v>2</v>
      </c>
      <c r="H188">
        <v>1800</v>
      </c>
      <c r="I188">
        <v>5</v>
      </c>
      <c r="J188" t="s">
        <v>29</v>
      </c>
      <c r="K188" t="s">
        <v>36</v>
      </c>
      <c r="L188">
        <v>3420</v>
      </c>
      <c r="M188" t="s">
        <v>763</v>
      </c>
      <c r="N188">
        <v>1</v>
      </c>
      <c r="O188" s="2">
        <v>46023</v>
      </c>
    </row>
    <row r="189" spans="1:15" x14ac:dyDescent="0.3">
      <c r="A189" t="s">
        <v>752</v>
      </c>
      <c r="B189" s="2">
        <v>46024</v>
      </c>
      <c r="C189" t="s">
        <v>249</v>
      </c>
      <c r="D189" t="s">
        <v>40</v>
      </c>
      <c r="E189" t="s">
        <v>27</v>
      </c>
      <c r="F189" t="s">
        <v>128</v>
      </c>
      <c r="G189">
        <v>2</v>
      </c>
      <c r="H189">
        <v>1800</v>
      </c>
      <c r="I189">
        <v>5</v>
      </c>
      <c r="J189" t="s">
        <v>29</v>
      </c>
      <c r="K189" t="s">
        <v>36</v>
      </c>
      <c r="L189">
        <v>3420</v>
      </c>
      <c r="M189" t="s">
        <v>763</v>
      </c>
      <c r="N189">
        <v>1</v>
      </c>
      <c r="O189" s="2">
        <v>46023</v>
      </c>
    </row>
    <row r="190" spans="1:15" x14ac:dyDescent="0.3">
      <c r="A190" t="s">
        <v>254</v>
      </c>
      <c r="B190" s="2">
        <v>46090</v>
      </c>
      <c r="C190" t="s">
        <v>154</v>
      </c>
      <c r="D190" t="s">
        <v>40</v>
      </c>
      <c r="E190" t="s">
        <v>49</v>
      </c>
      <c r="F190" t="s">
        <v>157</v>
      </c>
      <c r="G190">
        <v>2</v>
      </c>
      <c r="H190">
        <v>1800</v>
      </c>
      <c r="I190">
        <v>5</v>
      </c>
      <c r="J190" t="s">
        <v>55</v>
      </c>
      <c r="K190" t="s">
        <v>36</v>
      </c>
      <c r="L190">
        <v>3420</v>
      </c>
      <c r="M190" t="s">
        <v>767</v>
      </c>
      <c r="N190">
        <v>3</v>
      </c>
      <c r="O190" s="2">
        <v>46082</v>
      </c>
    </row>
    <row r="191" spans="1:15" x14ac:dyDescent="0.3">
      <c r="A191" t="s">
        <v>695</v>
      </c>
      <c r="B191" s="2">
        <v>46156</v>
      </c>
      <c r="C191" t="s">
        <v>215</v>
      </c>
      <c r="D191" t="s">
        <v>26</v>
      </c>
      <c r="E191" t="s">
        <v>34</v>
      </c>
      <c r="F191" t="s">
        <v>62</v>
      </c>
      <c r="G191">
        <v>4</v>
      </c>
      <c r="H191">
        <v>900</v>
      </c>
      <c r="I191">
        <v>5</v>
      </c>
      <c r="J191" t="s">
        <v>51</v>
      </c>
      <c r="K191" t="s">
        <v>18</v>
      </c>
      <c r="L191">
        <v>3420</v>
      </c>
      <c r="M191" t="s">
        <v>769</v>
      </c>
      <c r="N191">
        <v>5</v>
      </c>
      <c r="O191" s="2">
        <v>46143</v>
      </c>
    </row>
    <row r="192" spans="1:15" x14ac:dyDescent="0.3">
      <c r="A192" t="s">
        <v>496</v>
      </c>
      <c r="B192" s="2">
        <v>46157</v>
      </c>
      <c r="C192" t="s">
        <v>179</v>
      </c>
      <c r="D192" t="s">
        <v>72</v>
      </c>
      <c r="E192" t="s">
        <v>34</v>
      </c>
      <c r="F192" t="s">
        <v>62</v>
      </c>
      <c r="G192">
        <v>4</v>
      </c>
      <c r="H192">
        <v>900</v>
      </c>
      <c r="I192">
        <v>5</v>
      </c>
      <c r="J192" t="s">
        <v>51</v>
      </c>
      <c r="K192" t="s">
        <v>18</v>
      </c>
      <c r="L192">
        <v>3420</v>
      </c>
      <c r="M192" t="s">
        <v>769</v>
      </c>
      <c r="N192">
        <v>5</v>
      </c>
      <c r="O192" s="2">
        <v>46143</v>
      </c>
    </row>
    <row r="193" spans="1:15" x14ac:dyDescent="0.3">
      <c r="A193" t="s">
        <v>607</v>
      </c>
      <c r="B193" s="2">
        <v>46164</v>
      </c>
      <c r="C193" t="s">
        <v>25</v>
      </c>
      <c r="D193" t="s">
        <v>40</v>
      </c>
      <c r="E193" t="s">
        <v>34</v>
      </c>
      <c r="F193" t="s">
        <v>100</v>
      </c>
      <c r="G193">
        <v>3</v>
      </c>
      <c r="H193">
        <v>1200</v>
      </c>
      <c r="I193">
        <v>5</v>
      </c>
      <c r="J193" t="s">
        <v>51</v>
      </c>
      <c r="K193" t="s">
        <v>30</v>
      </c>
      <c r="L193">
        <v>3420</v>
      </c>
      <c r="M193" t="s">
        <v>769</v>
      </c>
      <c r="N193">
        <v>5</v>
      </c>
      <c r="O193" s="2">
        <v>46143</v>
      </c>
    </row>
    <row r="194" spans="1:15" x14ac:dyDescent="0.3">
      <c r="A194" t="s">
        <v>509</v>
      </c>
      <c r="B194" s="2">
        <v>46187</v>
      </c>
      <c r="C194" t="s">
        <v>88</v>
      </c>
      <c r="D194" t="s">
        <v>72</v>
      </c>
      <c r="E194" t="s">
        <v>34</v>
      </c>
      <c r="F194" t="s">
        <v>62</v>
      </c>
      <c r="G194">
        <v>4</v>
      </c>
      <c r="H194">
        <v>900</v>
      </c>
      <c r="I194">
        <v>5</v>
      </c>
      <c r="J194" t="s">
        <v>51</v>
      </c>
      <c r="K194" t="s">
        <v>22</v>
      </c>
      <c r="L194">
        <v>3420</v>
      </c>
      <c r="M194" t="s">
        <v>770</v>
      </c>
      <c r="N194">
        <v>6</v>
      </c>
      <c r="O194" s="2">
        <v>46174</v>
      </c>
    </row>
    <row r="195" spans="1:15" x14ac:dyDescent="0.3">
      <c r="A195" t="s">
        <v>682</v>
      </c>
      <c r="B195" s="2">
        <v>46122</v>
      </c>
      <c r="C195" t="s">
        <v>88</v>
      </c>
      <c r="D195" t="s">
        <v>40</v>
      </c>
      <c r="E195" t="s">
        <v>65</v>
      </c>
      <c r="F195" t="s">
        <v>66</v>
      </c>
      <c r="G195">
        <v>5</v>
      </c>
      <c r="H195">
        <v>850</v>
      </c>
      <c r="I195">
        <v>20</v>
      </c>
      <c r="J195" t="s">
        <v>55</v>
      </c>
      <c r="K195" t="s">
        <v>30</v>
      </c>
      <c r="L195">
        <v>3400</v>
      </c>
      <c r="M195" t="s">
        <v>768</v>
      </c>
      <c r="N195">
        <v>4</v>
      </c>
      <c r="O195" s="2">
        <v>46113</v>
      </c>
    </row>
    <row r="196" spans="1:15" x14ac:dyDescent="0.3">
      <c r="A196" t="s">
        <v>286</v>
      </c>
      <c r="B196" s="2">
        <v>46121</v>
      </c>
      <c r="C196" t="s">
        <v>154</v>
      </c>
      <c r="D196" t="s">
        <v>14</v>
      </c>
      <c r="E196" t="s">
        <v>65</v>
      </c>
      <c r="F196" t="s">
        <v>66</v>
      </c>
      <c r="G196">
        <v>4</v>
      </c>
      <c r="H196">
        <v>850</v>
      </c>
      <c r="I196">
        <v>0</v>
      </c>
      <c r="J196" t="s">
        <v>55</v>
      </c>
      <c r="K196" t="s">
        <v>30</v>
      </c>
      <c r="L196">
        <v>3400</v>
      </c>
      <c r="M196" t="s">
        <v>768</v>
      </c>
      <c r="N196">
        <v>4</v>
      </c>
      <c r="O196" s="2">
        <v>46113</v>
      </c>
    </row>
    <row r="197" spans="1:15" x14ac:dyDescent="0.3">
      <c r="A197" t="s">
        <v>329</v>
      </c>
      <c r="B197" s="2">
        <v>46198</v>
      </c>
      <c r="C197" t="s">
        <v>142</v>
      </c>
      <c r="D197" t="s">
        <v>72</v>
      </c>
      <c r="E197" t="s">
        <v>65</v>
      </c>
      <c r="F197" t="s">
        <v>66</v>
      </c>
      <c r="G197">
        <v>4</v>
      </c>
      <c r="H197">
        <v>850</v>
      </c>
      <c r="I197">
        <v>0</v>
      </c>
      <c r="J197" t="s">
        <v>764</v>
      </c>
      <c r="K197" t="s">
        <v>30</v>
      </c>
      <c r="L197">
        <v>3400</v>
      </c>
      <c r="M197" t="s">
        <v>770</v>
      </c>
      <c r="N197">
        <v>6</v>
      </c>
      <c r="O197" s="2">
        <v>46174</v>
      </c>
    </row>
    <row r="198" spans="1:15" x14ac:dyDescent="0.3">
      <c r="A198" t="s">
        <v>457</v>
      </c>
      <c r="B198" s="2">
        <v>46074</v>
      </c>
      <c r="C198" t="s">
        <v>44</v>
      </c>
      <c r="D198" t="s">
        <v>26</v>
      </c>
      <c r="E198" t="s">
        <v>65</v>
      </c>
      <c r="F198" t="s">
        <v>106</v>
      </c>
      <c r="G198">
        <v>5</v>
      </c>
      <c r="H198">
        <v>750</v>
      </c>
      <c r="I198">
        <v>10</v>
      </c>
      <c r="J198" t="s">
        <v>55</v>
      </c>
      <c r="K198" t="s">
        <v>36</v>
      </c>
      <c r="L198">
        <v>3375</v>
      </c>
      <c r="M198" t="s">
        <v>765</v>
      </c>
      <c r="N198">
        <v>2</v>
      </c>
      <c r="O198" s="2">
        <v>46054</v>
      </c>
    </row>
    <row r="199" spans="1:15" x14ac:dyDescent="0.3">
      <c r="A199" t="s">
        <v>696</v>
      </c>
      <c r="B199" s="2">
        <v>46065</v>
      </c>
      <c r="C199" t="s">
        <v>84</v>
      </c>
      <c r="D199" t="s">
        <v>72</v>
      </c>
      <c r="E199" t="s">
        <v>34</v>
      </c>
      <c r="F199" t="s">
        <v>35</v>
      </c>
      <c r="G199">
        <v>1</v>
      </c>
      <c r="H199">
        <v>3500</v>
      </c>
      <c r="I199">
        <v>5</v>
      </c>
      <c r="J199" t="s">
        <v>55</v>
      </c>
      <c r="K199" t="s">
        <v>22</v>
      </c>
      <c r="L199">
        <v>3325</v>
      </c>
      <c r="M199" t="s">
        <v>765</v>
      </c>
      <c r="N199">
        <v>2</v>
      </c>
      <c r="O199" s="2">
        <v>46054</v>
      </c>
    </row>
    <row r="200" spans="1:15" x14ac:dyDescent="0.3">
      <c r="A200" t="s">
        <v>669</v>
      </c>
      <c r="B200" s="2">
        <v>46118</v>
      </c>
      <c r="C200" t="s">
        <v>44</v>
      </c>
      <c r="D200" t="s">
        <v>40</v>
      </c>
      <c r="E200" t="s">
        <v>65</v>
      </c>
      <c r="F200" t="s">
        <v>92</v>
      </c>
      <c r="G200">
        <v>5</v>
      </c>
      <c r="H200">
        <v>700</v>
      </c>
      <c r="I200">
        <v>5</v>
      </c>
      <c r="J200" t="s">
        <v>764</v>
      </c>
      <c r="K200" t="s">
        <v>30</v>
      </c>
      <c r="L200">
        <v>3325</v>
      </c>
      <c r="M200" t="s">
        <v>768</v>
      </c>
      <c r="N200">
        <v>4</v>
      </c>
      <c r="O200" s="2">
        <v>46113</v>
      </c>
    </row>
    <row r="201" spans="1:15" x14ac:dyDescent="0.3">
      <c r="A201" t="s">
        <v>129</v>
      </c>
      <c r="B201" s="2">
        <v>46168</v>
      </c>
      <c r="C201" t="s">
        <v>13</v>
      </c>
      <c r="D201" t="s">
        <v>40</v>
      </c>
      <c r="E201" t="s">
        <v>65</v>
      </c>
      <c r="F201" t="s">
        <v>85</v>
      </c>
      <c r="G201">
        <v>5</v>
      </c>
      <c r="H201">
        <v>650</v>
      </c>
      <c r="I201">
        <v>0</v>
      </c>
      <c r="J201" t="s">
        <v>29</v>
      </c>
      <c r="K201" t="s">
        <v>30</v>
      </c>
      <c r="L201">
        <v>3250</v>
      </c>
      <c r="M201" t="s">
        <v>769</v>
      </c>
      <c r="N201">
        <v>5</v>
      </c>
      <c r="O201" s="2">
        <v>46143</v>
      </c>
    </row>
    <row r="202" spans="1:15" x14ac:dyDescent="0.3">
      <c r="A202" t="s">
        <v>756</v>
      </c>
      <c r="B202" s="2">
        <v>46122</v>
      </c>
      <c r="C202" t="s">
        <v>25</v>
      </c>
      <c r="D202" t="s">
        <v>72</v>
      </c>
      <c r="E202" t="s">
        <v>34</v>
      </c>
      <c r="F202" t="s">
        <v>62</v>
      </c>
      <c r="G202">
        <v>4</v>
      </c>
      <c r="H202">
        <v>900</v>
      </c>
      <c r="I202">
        <v>10</v>
      </c>
      <c r="J202" t="s">
        <v>764</v>
      </c>
      <c r="K202" t="s">
        <v>18</v>
      </c>
      <c r="L202">
        <v>3240</v>
      </c>
      <c r="M202" t="s">
        <v>768</v>
      </c>
      <c r="N202">
        <v>4</v>
      </c>
      <c r="O202" s="2">
        <v>46113</v>
      </c>
    </row>
    <row r="203" spans="1:15" x14ac:dyDescent="0.3">
      <c r="A203" t="s">
        <v>373</v>
      </c>
      <c r="B203" s="2">
        <v>46165</v>
      </c>
      <c r="C203" t="s">
        <v>154</v>
      </c>
      <c r="D203" t="s">
        <v>72</v>
      </c>
      <c r="E203" t="s">
        <v>34</v>
      </c>
      <c r="F203" t="s">
        <v>100</v>
      </c>
      <c r="G203">
        <v>3</v>
      </c>
      <c r="H203">
        <v>1200</v>
      </c>
      <c r="I203">
        <v>10</v>
      </c>
      <c r="J203" t="s">
        <v>55</v>
      </c>
      <c r="K203" t="s">
        <v>30</v>
      </c>
      <c r="L203">
        <v>3240</v>
      </c>
      <c r="M203" t="s">
        <v>769</v>
      </c>
      <c r="N203">
        <v>5</v>
      </c>
      <c r="O203" s="2">
        <v>46143</v>
      </c>
    </row>
    <row r="204" spans="1:15" x14ac:dyDescent="0.3">
      <c r="A204" t="s">
        <v>534</v>
      </c>
      <c r="B204" s="2">
        <v>46181</v>
      </c>
      <c r="C204" t="s">
        <v>176</v>
      </c>
      <c r="D204" t="s">
        <v>26</v>
      </c>
      <c r="E204" t="s">
        <v>65</v>
      </c>
      <c r="F204" t="s">
        <v>96</v>
      </c>
      <c r="G204">
        <v>4</v>
      </c>
      <c r="H204">
        <v>900</v>
      </c>
      <c r="I204">
        <v>10</v>
      </c>
      <c r="J204" t="s">
        <v>29</v>
      </c>
      <c r="K204" t="s">
        <v>22</v>
      </c>
      <c r="L204">
        <v>3240</v>
      </c>
      <c r="M204" t="s">
        <v>770</v>
      </c>
      <c r="N204">
        <v>6</v>
      </c>
      <c r="O204" s="2">
        <v>46174</v>
      </c>
    </row>
    <row r="205" spans="1:15" x14ac:dyDescent="0.3">
      <c r="A205" t="s">
        <v>224</v>
      </c>
      <c r="B205" s="2">
        <v>46050</v>
      </c>
      <c r="C205" t="s">
        <v>109</v>
      </c>
      <c r="D205" t="s">
        <v>26</v>
      </c>
      <c r="E205" t="s">
        <v>65</v>
      </c>
      <c r="F205" t="s">
        <v>66</v>
      </c>
      <c r="G205">
        <v>4</v>
      </c>
      <c r="H205">
        <v>850</v>
      </c>
      <c r="I205">
        <v>5</v>
      </c>
      <c r="J205" t="s">
        <v>764</v>
      </c>
      <c r="K205" t="s">
        <v>22</v>
      </c>
      <c r="L205">
        <v>3230</v>
      </c>
      <c r="M205" t="s">
        <v>763</v>
      </c>
      <c r="N205">
        <v>1</v>
      </c>
      <c r="O205" s="2">
        <v>46023</v>
      </c>
    </row>
    <row r="206" spans="1:15" x14ac:dyDescent="0.3">
      <c r="A206" t="s">
        <v>699</v>
      </c>
      <c r="B206" s="2">
        <v>46120</v>
      </c>
      <c r="C206" t="s">
        <v>142</v>
      </c>
      <c r="D206" t="s">
        <v>26</v>
      </c>
      <c r="E206" t="s">
        <v>65</v>
      </c>
      <c r="F206" t="s">
        <v>66</v>
      </c>
      <c r="G206">
        <v>4</v>
      </c>
      <c r="H206">
        <v>850</v>
      </c>
      <c r="I206">
        <v>5</v>
      </c>
      <c r="J206" t="s">
        <v>55</v>
      </c>
      <c r="K206" t="s">
        <v>36</v>
      </c>
      <c r="L206">
        <v>3230</v>
      </c>
      <c r="M206" t="s">
        <v>768</v>
      </c>
      <c r="N206">
        <v>4</v>
      </c>
      <c r="O206" s="2">
        <v>46113</v>
      </c>
    </row>
    <row r="207" spans="1:15" x14ac:dyDescent="0.3">
      <c r="A207" t="s">
        <v>598</v>
      </c>
      <c r="B207" s="2">
        <v>46064</v>
      </c>
      <c r="C207" t="s">
        <v>196</v>
      </c>
      <c r="D207" t="s">
        <v>26</v>
      </c>
      <c r="E207" t="s">
        <v>49</v>
      </c>
      <c r="F207" t="s">
        <v>182</v>
      </c>
      <c r="G207">
        <v>5</v>
      </c>
      <c r="H207">
        <v>800</v>
      </c>
      <c r="I207">
        <v>20</v>
      </c>
      <c r="J207" t="s">
        <v>51</v>
      </c>
      <c r="K207" t="s">
        <v>22</v>
      </c>
      <c r="L207">
        <v>3200</v>
      </c>
      <c r="M207" t="s">
        <v>765</v>
      </c>
      <c r="N207">
        <v>2</v>
      </c>
      <c r="O207" s="2">
        <v>46054</v>
      </c>
    </row>
    <row r="208" spans="1:15" x14ac:dyDescent="0.3">
      <c r="A208" t="s">
        <v>526</v>
      </c>
      <c r="B208" s="2">
        <v>46104</v>
      </c>
      <c r="C208" t="s">
        <v>54</v>
      </c>
      <c r="D208" t="s">
        <v>40</v>
      </c>
      <c r="E208" t="s">
        <v>49</v>
      </c>
      <c r="F208" t="s">
        <v>58</v>
      </c>
      <c r="G208">
        <v>1</v>
      </c>
      <c r="H208">
        <v>3200</v>
      </c>
      <c r="I208">
        <v>0</v>
      </c>
      <c r="J208" t="s">
        <v>51</v>
      </c>
      <c r="K208" t="s">
        <v>18</v>
      </c>
      <c r="L208">
        <v>3200</v>
      </c>
      <c r="M208" t="s">
        <v>767</v>
      </c>
      <c r="N208">
        <v>3</v>
      </c>
      <c r="O208" s="2">
        <v>46082</v>
      </c>
    </row>
    <row r="209" spans="1:15" x14ac:dyDescent="0.3">
      <c r="A209" t="s">
        <v>250</v>
      </c>
      <c r="B209" s="2">
        <v>46165</v>
      </c>
      <c r="C209" t="s">
        <v>33</v>
      </c>
      <c r="D209" t="s">
        <v>72</v>
      </c>
      <c r="E209" t="s">
        <v>49</v>
      </c>
      <c r="F209" t="s">
        <v>182</v>
      </c>
      <c r="G209">
        <v>5</v>
      </c>
      <c r="H209">
        <v>800</v>
      </c>
      <c r="I209">
        <v>20</v>
      </c>
      <c r="J209" t="s">
        <v>55</v>
      </c>
      <c r="K209" t="s">
        <v>18</v>
      </c>
      <c r="L209">
        <v>3200</v>
      </c>
      <c r="M209" t="s">
        <v>769</v>
      </c>
      <c r="N209">
        <v>5</v>
      </c>
      <c r="O209" s="2">
        <v>46143</v>
      </c>
    </row>
    <row r="210" spans="1:15" x14ac:dyDescent="0.3">
      <c r="A210" t="s">
        <v>362</v>
      </c>
      <c r="B210" s="2">
        <v>46188</v>
      </c>
      <c r="C210" t="s">
        <v>44</v>
      </c>
      <c r="D210" t="s">
        <v>14</v>
      </c>
      <c r="E210" t="s">
        <v>34</v>
      </c>
      <c r="F210" t="s">
        <v>41</v>
      </c>
      <c r="G210">
        <v>2</v>
      </c>
      <c r="H210">
        <v>1600</v>
      </c>
      <c r="I210">
        <v>0</v>
      </c>
      <c r="J210" t="s">
        <v>55</v>
      </c>
      <c r="K210" t="s">
        <v>30</v>
      </c>
      <c r="L210">
        <v>3200</v>
      </c>
      <c r="M210" t="s">
        <v>770</v>
      </c>
      <c r="N210">
        <v>6</v>
      </c>
      <c r="O210" s="2">
        <v>46174</v>
      </c>
    </row>
    <row r="211" spans="1:15" x14ac:dyDescent="0.3">
      <c r="A211" t="s">
        <v>604</v>
      </c>
      <c r="B211" s="2">
        <v>46068</v>
      </c>
      <c r="C211" t="s">
        <v>84</v>
      </c>
      <c r="D211" t="s">
        <v>40</v>
      </c>
      <c r="E211" t="s">
        <v>65</v>
      </c>
      <c r="F211" t="s">
        <v>106</v>
      </c>
      <c r="G211">
        <v>5</v>
      </c>
      <c r="H211">
        <v>750</v>
      </c>
      <c r="I211">
        <v>15</v>
      </c>
      <c r="J211" t="s">
        <v>55</v>
      </c>
      <c r="K211" t="s">
        <v>30</v>
      </c>
      <c r="L211">
        <v>3187.5</v>
      </c>
      <c r="M211" t="s">
        <v>765</v>
      </c>
      <c r="N211">
        <v>2</v>
      </c>
      <c r="O211" s="2">
        <v>46054</v>
      </c>
    </row>
    <row r="212" spans="1:15" x14ac:dyDescent="0.3">
      <c r="A212" t="s">
        <v>630</v>
      </c>
      <c r="B212" s="2">
        <v>46029</v>
      </c>
      <c r="C212" t="s">
        <v>179</v>
      </c>
      <c r="D212" t="s">
        <v>14</v>
      </c>
      <c r="E212" t="s">
        <v>34</v>
      </c>
      <c r="F212" t="s">
        <v>35</v>
      </c>
      <c r="G212">
        <v>1</v>
      </c>
      <c r="H212">
        <v>3500</v>
      </c>
      <c r="I212">
        <v>10</v>
      </c>
      <c r="J212" t="s">
        <v>764</v>
      </c>
      <c r="K212" t="s">
        <v>18</v>
      </c>
      <c r="L212">
        <v>3150</v>
      </c>
      <c r="M212" t="s">
        <v>763</v>
      </c>
      <c r="N212">
        <v>1</v>
      </c>
      <c r="O212" s="2">
        <v>46023</v>
      </c>
    </row>
    <row r="213" spans="1:15" x14ac:dyDescent="0.3">
      <c r="A213" t="s">
        <v>456</v>
      </c>
      <c r="B213" s="2">
        <v>46097</v>
      </c>
      <c r="C213" t="s">
        <v>117</v>
      </c>
      <c r="D213" t="s">
        <v>26</v>
      </c>
      <c r="E213" t="s">
        <v>34</v>
      </c>
      <c r="F213" t="s">
        <v>35</v>
      </c>
      <c r="G213">
        <v>1</v>
      </c>
      <c r="H213">
        <v>3500</v>
      </c>
      <c r="I213">
        <v>10</v>
      </c>
      <c r="J213" t="s">
        <v>29</v>
      </c>
      <c r="K213" t="s">
        <v>30</v>
      </c>
      <c r="L213">
        <v>3150</v>
      </c>
      <c r="M213" t="s">
        <v>767</v>
      </c>
      <c r="N213">
        <v>3</v>
      </c>
      <c r="O213" s="2">
        <v>46082</v>
      </c>
    </row>
    <row r="214" spans="1:15" x14ac:dyDescent="0.3">
      <c r="A214" t="s">
        <v>600</v>
      </c>
      <c r="B214" s="2">
        <v>46091</v>
      </c>
      <c r="C214" t="s">
        <v>88</v>
      </c>
      <c r="D214" t="s">
        <v>40</v>
      </c>
      <c r="E214" t="s">
        <v>34</v>
      </c>
      <c r="F214" t="s">
        <v>35</v>
      </c>
      <c r="G214">
        <v>1</v>
      </c>
      <c r="H214">
        <v>3500</v>
      </c>
      <c r="I214">
        <v>10</v>
      </c>
      <c r="J214" t="s">
        <v>29</v>
      </c>
      <c r="K214" t="s">
        <v>30</v>
      </c>
      <c r="L214">
        <v>3150</v>
      </c>
      <c r="M214" t="s">
        <v>767</v>
      </c>
      <c r="N214">
        <v>3</v>
      </c>
      <c r="O214" s="2">
        <v>46082</v>
      </c>
    </row>
    <row r="215" spans="1:15" x14ac:dyDescent="0.3">
      <c r="A215" t="s">
        <v>474</v>
      </c>
      <c r="B215" s="2">
        <v>46126</v>
      </c>
      <c r="C215" t="s">
        <v>154</v>
      </c>
      <c r="D215" t="s">
        <v>26</v>
      </c>
      <c r="E215" t="s">
        <v>34</v>
      </c>
      <c r="F215" t="s">
        <v>35</v>
      </c>
      <c r="G215">
        <v>1</v>
      </c>
      <c r="H215">
        <v>3500</v>
      </c>
      <c r="I215">
        <v>10</v>
      </c>
      <c r="J215" t="s">
        <v>51</v>
      </c>
      <c r="K215" t="s">
        <v>22</v>
      </c>
      <c r="L215">
        <v>3150</v>
      </c>
      <c r="M215" t="s">
        <v>768</v>
      </c>
      <c r="N215">
        <v>4</v>
      </c>
      <c r="O215" s="2">
        <v>46113</v>
      </c>
    </row>
    <row r="216" spans="1:15" x14ac:dyDescent="0.3">
      <c r="A216" t="s">
        <v>708</v>
      </c>
      <c r="B216" s="2">
        <v>46110</v>
      </c>
      <c r="C216" t="s">
        <v>71</v>
      </c>
      <c r="D216" t="s">
        <v>40</v>
      </c>
      <c r="E216" t="s">
        <v>15</v>
      </c>
      <c r="F216" t="s">
        <v>78</v>
      </c>
      <c r="G216">
        <v>4</v>
      </c>
      <c r="H216">
        <v>900</v>
      </c>
      <c r="I216">
        <v>15</v>
      </c>
      <c r="J216" t="s">
        <v>29</v>
      </c>
      <c r="K216" t="s">
        <v>30</v>
      </c>
      <c r="L216">
        <v>3060</v>
      </c>
      <c r="M216" t="s">
        <v>767</v>
      </c>
      <c r="N216">
        <v>3</v>
      </c>
      <c r="O216" s="2">
        <v>46082</v>
      </c>
    </row>
    <row r="217" spans="1:15" x14ac:dyDescent="0.3">
      <c r="A217" t="s">
        <v>365</v>
      </c>
      <c r="B217" s="2">
        <v>46105</v>
      </c>
      <c r="C217" t="s">
        <v>48</v>
      </c>
      <c r="D217" t="s">
        <v>26</v>
      </c>
      <c r="E217" t="s">
        <v>27</v>
      </c>
      <c r="F217" t="s">
        <v>128</v>
      </c>
      <c r="G217">
        <v>2</v>
      </c>
      <c r="H217">
        <v>1800</v>
      </c>
      <c r="I217">
        <v>15</v>
      </c>
      <c r="J217" t="s">
        <v>764</v>
      </c>
      <c r="K217" t="s">
        <v>18</v>
      </c>
      <c r="L217">
        <v>3060</v>
      </c>
      <c r="M217" t="s">
        <v>767</v>
      </c>
      <c r="N217">
        <v>3</v>
      </c>
      <c r="O217" s="2">
        <v>46082</v>
      </c>
    </row>
    <row r="218" spans="1:15" x14ac:dyDescent="0.3">
      <c r="A218" t="s">
        <v>406</v>
      </c>
      <c r="B218" s="2">
        <v>46109</v>
      </c>
      <c r="C218" t="s">
        <v>71</v>
      </c>
      <c r="D218" t="s">
        <v>72</v>
      </c>
      <c r="E218" t="s">
        <v>65</v>
      </c>
      <c r="F218" t="s">
        <v>66</v>
      </c>
      <c r="G218">
        <v>4</v>
      </c>
      <c r="H218">
        <v>850</v>
      </c>
      <c r="I218">
        <v>10</v>
      </c>
      <c r="J218" t="s">
        <v>51</v>
      </c>
      <c r="K218" t="s">
        <v>36</v>
      </c>
      <c r="L218">
        <v>3060</v>
      </c>
      <c r="M218" t="s">
        <v>767</v>
      </c>
      <c r="N218">
        <v>3</v>
      </c>
      <c r="O218" s="2">
        <v>46082</v>
      </c>
    </row>
    <row r="219" spans="1:15" x14ac:dyDescent="0.3">
      <c r="A219" t="s">
        <v>192</v>
      </c>
      <c r="B219" s="2">
        <v>46132</v>
      </c>
      <c r="C219" t="s">
        <v>44</v>
      </c>
      <c r="D219" t="s">
        <v>72</v>
      </c>
      <c r="E219" t="s">
        <v>27</v>
      </c>
      <c r="F219" t="s">
        <v>128</v>
      </c>
      <c r="G219">
        <v>2</v>
      </c>
      <c r="H219">
        <v>1800</v>
      </c>
      <c r="I219">
        <v>15</v>
      </c>
      <c r="J219" t="s">
        <v>29</v>
      </c>
      <c r="K219" t="s">
        <v>30</v>
      </c>
      <c r="L219">
        <v>3060</v>
      </c>
      <c r="M219" t="s">
        <v>768</v>
      </c>
      <c r="N219">
        <v>4</v>
      </c>
      <c r="O219" s="2">
        <v>46113</v>
      </c>
    </row>
    <row r="220" spans="1:15" x14ac:dyDescent="0.3">
      <c r="A220" t="s">
        <v>391</v>
      </c>
      <c r="B220" s="2">
        <v>46143</v>
      </c>
      <c r="C220" t="s">
        <v>133</v>
      </c>
      <c r="D220" t="s">
        <v>14</v>
      </c>
      <c r="E220" t="s">
        <v>15</v>
      </c>
      <c r="F220" t="s">
        <v>78</v>
      </c>
      <c r="G220">
        <v>4</v>
      </c>
      <c r="H220">
        <v>900</v>
      </c>
      <c r="I220">
        <v>15</v>
      </c>
      <c r="J220" t="s">
        <v>764</v>
      </c>
      <c r="K220" t="s">
        <v>36</v>
      </c>
      <c r="L220">
        <v>3060</v>
      </c>
      <c r="M220" t="s">
        <v>769</v>
      </c>
      <c r="N220">
        <v>5</v>
      </c>
      <c r="O220" s="2">
        <v>46143</v>
      </c>
    </row>
    <row r="221" spans="1:15" x14ac:dyDescent="0.3">
      <c r="A221" t="s">
        <v>364</v>
      </c>
      <c r="B221" s="2">
        <v>46177</v>
      </c>
      <c r="C221" t="s">
        <v>105</v>
      </c>
      <c r="D221" t="s">
        <v>40</v>
      </c>
      <c r="E221" t="s">
        <v>49</v>
      </c>
      <c r="F221" t="s">
        <v>157</v>
      </c>
      <c r="G221">
        <v>2</v>
      </c>
      <c r="H221">
        <v>1800</v>
      </c>
      <c r="I221">
        <v>15</v>
      </c>
      <c r="J221" t="s">
        <v>29</v>
      </c>
      <c r="K221" t="s">
        <v>18</v>
      </c>
      <c r="L221">
        <v>3060</v>
      </c>
      <c r="M221" t="s">
        <v>770</v>
      </c>
      <c r="N221">
        <v>6</v>
      </c>
      <c r="O221" s="2">
        <v>46174</v>
      </c>
    </row>
    <row r="222" spans="1:15" x14ac:dyDescent="0.3">
      <c r="A222" t="s">
        <v>680</v>
      </c>
      <c r="B222" s="2">
        <v>46093</v>
      </c>
      <c r="C222" t="s">
        <v>39</v>
      </c>
      <c r="D222" t="s">
        <v>26</v>
      </c>
      <c r="E222" t="s">
        <v>34</v>
      </c>
      <c r="F222" t="s">
        <v>41</v>
      </c>
      <c r="G222">
        <v>2</v>
      </c>
      <c r="H222">
        <v>1600</v>
      </c>
      <c r="I222">
        <v>5</v>
      </c>
      <c r="J222" t="s">
        <v>55</v>
      </c>
      <c r="K222" t="s">
        <v>36</v>
      </c>
      <c r="L222">
        <v>3040</v>
      </c>
      <c r="M222" t="s">
        <v>767</v>
      </c>
      <c r="N222">
        <v>3</v>
      </c>
      <c r="O222" s="2">
        <v>46082</v>
      </c>
    </row>
    <row r="223" spans="1:15" x14ac:dyDescent="0.3">
      <c r="A223" t="s">
        <v>584</v>
      </c>
      <c r="B223" s="2">
        <v>46099</v>
      </c>
      <c r="C223" t="s">
        <v>105</v>
      </c>
      <c r="D223" t="s">
        <v>72</v>
      </c>
      <c r="E223" t="s">
        <v>34</v>
      </c>
      <c r="F223" t="s">
        <v>41</v>
      </c>
      <c r="G223">
        <v>2</v>
      </c>
      <c r="H223">
        <v>1600</v>
      </c>
      <c r="I223">
        <v>5</v>
      </c>
      <c r="J223" t="s">
        <v>764</v>
      </c>
      <c r="K223" t="s">
        <v>36</v>
      </c>
      <c r="L223">
        <v>3040</v>
      </c>
      <c r="M223" t="s">
        <v>767</v>
      </c>
      <c r="N223">
        <v>3</v>
      </c>
      <c r="O223" s="2">
        <v>46082</v>
      </c>
    </row>
    <row r="224" spans="1:15" x14ac:dyDescent="0.3">
      <c r="A224" t="s">
        <v>241</v>
      </c>
      <c r="B224" s="2">
        <v>46093</v>
      </c>
      <c r="C224" t="s">
        <v>88</v>
      </c>
      <c r="D224" t="s">
        <v>26</v>
      </c>
      <c r="E224" t="s">
        <v>49</v>
      </c>
      <c r="F224" t="s">
        <v>58</v>
      </c>
      <c r="G224">
        <v>1</v>
      </c>
      <c r="H224">
        <v>3200</v>
      </c>
      <c r="I224">
        <v>5</v>
      </c>
      <c r="J224" t="s">
        <v>51</v>
      </c>
      <c r="K224" t="s">
        <v>22</v>
      </c>
      <c r="L224">
        <v>3040</v>
      </c>
      <c r="M224" t="s">
        <v>767</v>
      </c>
      <c r="N224">
        <v>3</v>
      </c>
      <c r="O224" s="2">
        <v>46082</v>
      </c>
    </row>
    <row r="225" spans="1:15" x14ac:dyDescent="0.3">
      <c r="A225" t="s">
        <v>704</v>
      </c>
      <c r="B225" s="2">
        <v>46051</v>
      </c>
      <c r="C225" t="s">
        <v>44</v>
      </c>
      <c r="D225" t="s">
        <v>72</v>
      </c>
      <c r="E225" t="s">
        <v>15</v>
      </c>
      <c r="F225" t="s">
        <v>16</v>
      </c>
      <c r="G225">
        <v>2</v>
      </c>
      <c r="H225">
        <v>1500</v>
      </c>
      <c r="I225">
        <v>0</v>
      </c>
      <c r="J225" t="s">
        <v>764</v>
      </c>
      <c r="K225" t="s">
        <v>36</v>
      </c>
      <c r="L225">
        <v>3000</v>
      </c>
      <c r="M225" t="s">
        <v>763</v>
      </c>
      <c r="N225">
        <v>1</v>
      </c>
      <c r="O225" s="2">
        <v>46023</v>
      </c>
    </row>
    <row r="226" spans="1:15" x14ac:dyDescent="0.3">
      <c r="A226" t="s">
        <v>304</v>
      </c>
      <c r="B226" s="2">
        <v>46074</v>
      </c>
      <c r="C226" t="s">
        <v>105</v>
      </c>
      <c r="D226" t="s">
        <v>26</v>
      </c>
      <c r="E226" t="s">
        <v>65</v>
      </c>
      <c r="F226" t="s">
        <v>106</v>
      </c>
      <c r="G226">
        <v>5</v>
      </c>
      <c r="H226">
        <v>750</v>
      </c>
      <c r="I226">
        <v>20</v>
      </c>
      <c r="J226" t="s">
        <v>51</v>
      </c>
      <c r="K226" t="s">
        <v>22</v>
      </c>
      <c r="L226">
        <v>3000</v>
      </c>
      <c r="M226" t="s">
        <v>765</v>
      </c>
      <c r="N226">
        <v>2</v>
      </c>
      <c r="O226" s="2">
        <v>46054</v>
      </c>
    </row>
    <row r="227" spans="1:15" x14ac:dyDescent="0.3">
      <c r="A227" t="s">
        <v>623</v>
      </c>
      <c r="B227" s="2">
        <v>46073</v>
      </c>
      <c r="C227" t="s">
        <v>95</v>
      </c>
      <c r="D227" t="s">
        <v>72</v>
      </c>
      <c r="E227" t="s">
        <v>15</v>
      </c>
      <c r="F227" t="s">
        <v>16</v>
      </c>
      <c r="G227">
        <v>2</v>
      </c>
      <c r="H227">
        <v>1500</v>
      </c>
      <c r="I227">
        <v>0</v>
      </c>
      <c r="J227" t="s">
        <v>51</v>
      </c>
      <c r="K227" t="s">
        <v>36</v>
      </c>
      <c r="L227">
        <v>3000</v>
      </c>
      <c r="M227" t="s">
        <v>765</v>
      </c>
      <c r="N227">
        <v>2</v>
      </c>
      <c r="O227" s="2">
        <v>46054</v>
      </c>
    </row>
    <row r="228" spans="1:15" x14ac:dyDescent="0.3">
      <c r="A228" t="s">
        <v>11</v>
      </c>
      <c r="B228" s="2">
        <v>46093</v>
      </c>
      <c r="C228" t="s">
        <v>13</v>
      </c>
      <c r="D228" t="s">
        <v>14</v>
      </c>
      <c r="E228" t="s">
        <v>15</v>
      </c>
      <c r="F228" t="s">
        <v>16</v>
      </c>
      <c r="G228">
        <v>2</v>
      </c>
      <c r="H228">
        <v>1500</v>
      </c>
      <c r="I228">
        <v>0</v>
      </c>
      <c r="J228" t="s">
        <v>764</v>
      </c>
      <c r="K228" t="s">
        <v>18</v>
      </c>
      <c r="L228">
        <v>3000</v>
      </c>
      <c r="M228" t="s">
        <v>767</v>
      </c>
      <c r="N228">
        <v>3</v>
      </c>
      <c r="O228" s="2">
        <v>46082</v>
      </c>
    </row>
    <row r="229" spans="1:15" x14ac:dyDescent="0.3">
      <c r="A229" t="s">
        <v>583</v>
      </c>
      <c r="B229" s="2">
        <v>46145</v>
      </c>
      <c r="C229" t="s">
        <v>61</v>
      </c>
      <c r="D229" t="s">
        <v>14</v>
      </c>
      <c r="E229" t="s">
        <v>65</v>
      </c>
      <c r="F229" t="s">
        <v>106</v>
      </c>
      <c r="G229">
        <v>4</v>
      </c>
      <c r="H229">
        <v>750</v>
      </c>
      <c r="I229">
        <v>0</v>
      </c>
      <c r="J229" t="s">
        <v>764</v>
      </c>
      <c r="K229" t="s">
        <v>36</v>
      </c>
      <c r="L229">
        <v>3000</v>
      </c>
      <c r="M229" t="s">
        <v>769</v>
      </c>
      <c r="N229">
        <v>5</v>
      </c>
      <c r="O229" s="2">
        <v>46143</v>
      </c>
    </row>
    <row r="230" spans="1:15" x14ac:dyDescent="0.3">
      <c r="A230" t="s">
        <v>479</v>
      </c>
      <c r="B230" s="2">
        <v>46136</v>
      </c>
      <c r="C230" t="s">
        <v>142</v>
      </c>
      <c r="D230" t="s">
        <v>14</v>
      </c>
      <c r="E230" t="s">
        <v>34</v>
      </c>
      <c r="F230" t="s">
        <v>81</v>
      </c>
      <c r="G230">
        <v>5</v>
      </c>
      <c r="H230">
        <v>700</v>
      </c>
      <c r="I230">
        <v>15</v>
      </c>
      <c r="J230" t="s">
        <v>764</v>
      </c>
      <c r="K230" t="s">
        <v>18</v>
      </c>
      <c r="L230">
        <v>2975</v>
      </c>
      <c r="M230" t="s">
        <v>768</v>
      </c>
      <c r="N230">
        <v>4</v>
      </c>
      <c r="O230" s="2">
        <v>46113</v>
      </c>
    </row>
    <row r="231" spans="1:15" x14ac:dyDescent="0.3">
      <c r="A231" t="s">
        <v>729</v>
      </c>
      <c r="B231" s="2">
        <v>46178</v>
      </c>
      <c r="C231" t="s">
        <v>95</v>
      </c>
      <c r="D231" t="s">
        <v>26</v>
      </c>
      <c r="E231" t="s">
        <v>65</v>
      </c>
      <c r="F231" t="s">
        <v>92</v>
      </c>
      <c r="G231">
        <v>5</v>
      </c>
      <c r="H231">
        <v>700</v>
      </c>
      <c r="I231">
        <v>15</v>
      </c>
      <c r="J231" t="s">
        <v>29</v>
      </c>
      <c r="K231" t="s">
        <v>22</v>
      </c>
      <c r="L231">
        <v>2975</v>
      </c>
      <c r="M231" t="s">
        <v>770</v>
      </c>
      <c r="N231">
        <v>6</v>
      </c>
      <c r="O231" s="2">
        <v>46174</v>
      </c>
    </row>
    <row r="232" spans="1:15" x14ac:dyDescent="0.3">
      <c r="A232" t="s">
        <v>407</v>
      </c>
      <c r="B232" s="2">
        <v>46133</v>
      </c>
      <c r="C232" t="s">
        <v>215</v>
      </c>
      <c r="D232" t="s">
        <v>14</v>
      </c>
      <c r="E232" t="s">
        <v>65</v>
      </c>
      <c r="F232" t="s">
        <v>85</v>
      </c>
      <c r="G232">
        <v>5</v>
      </c>
      <c r="H232">
        <v>650</v>
      </c>
      <c r="I232">
        <v>10</v>
      </c>
      <c r="J232" t="s">
        <v>51</v>
      </c>
      <c r="K232" t="s">
        <v>36</v>
      </c>
      <c r="L232">
        <v>2925</v>
      </c>
      <c r="M232" t="s">
        <v>768</v>
      </c>
      <c r="N232">
        <v>4</v>
      </c>
      <c r="O232" s="2">
        <v>46113</v>
      </c>
    </row>
    <row r="233" spans="1:15" x14ac:dyDescent="0.3">
      <c r="A233" t="s">
        <v>521</v>
      </c>
      <c r="B233" s="2">
        <v>46168</v>
      </c>
      <c r="C233" t="s">
        <v>44</v>
      </c>
      <c r="D233" t="s">
        <v>72</v>
      </c>
      <c r="E233" t="s">
        <v>27</v>
      </c>
      <c r="F233" t="s">
        <v>138</v>
      </c>
      <c r="G233">
        <v>5</v>
      </c>
      <c r="H233">
        <v>650</v>
      </c>
      <c r="I233">
        <v>10</v>
      </c>
      <c r="J233" t="s">
        <v>29</v>
      </c>
      <c r="K233" t="s">
        <v>22</v>
      </c>
      <c r="L233">
        <v>2925</v>
      </c>
      <c r="M233" t="s">
        <v>769</v>
      </c>
      <c r="N233">
        <v>5</v>
      </c>
      <c r="O233" s="2">
        <v>46143</v>
      </c>
    </row>
    <row r="234" spans="1:15" x14ac:dyDescent="0.3">
      <c r="A234" t="s">
        <v>515</v>
      </c>
      <c r="B234" s="2">
        <v>46043</v>
      </c>
      <c r="C234" t="s">
        <v>54</v>
      </c>
      <c r="D234" t="s">
        <v>72</v>
      </c>
      <c r="E234" t="s">
        <v>34</v>
      </c>
      <c r="F234" t="s">
        <v>62</v>
      </c>
      <c r="G234">
        <v>4</v>
      </c>
      <c r="H234">
        <v>900</v>
      </c>
      <c r="I234">
        <v>20</v>
      </c>
      <c r="J234" t="s">
        <v>55</v>
      </c>
      <c r="K234" t="s">
        <v>22</v>
      </c>
      <c r="L234">
        <v>2880</v>
      </c>
      <c r="M234" t="s">
        <v>763</v>
      </c>
      <c r="N234">
        <v>1</v>
      </c>
      <c r="O234" s="2">
        <v>46023</v>
      </c>
    </row>
    <row r="235" spans="1:15" x14ac:dyDescent="0.3">
      <c r="A235" t="s">
        <v>471</v>
      </c>
      <c r="B235" s="2">
        <v>46089</v>
      </c>
      <c r="C235" t="s">
        <v>176</v>
      </c>
      <c r="D235" t="s">
        <v>14</v>
      </c>
      <c r="E235" t="s">
        <v>49</v>
      </c>
      <c r="F235" t="s">
        <v>182</v>
      </c>
      <c r="G235">
        <v>4</v>
      </c>
      <c r="H235">
        <v>800</v>
      </c>
      <c r="I235">
        <v>10</v>
      </c>
      <c r="J235" t="s">
        <v>51</v>
      </c>
      <c r="K235" t="s">
        <v>30</v>
      </c>
      <c r="L235">
        <v>2880</v>
      </c>
      <c r="M235" t="s">
        <v>767</v>
      </c>
      <c r="N235">
        <v>3</v>
      </c>
      <c r="O235" s="2">
        <v>46082</v>
      </c>
    </row>
    <row r="236" spans="1:15" x14ac:dyDescent="0.3">
      <c r="A236" t="s">
        <v>495</v>
      </c>
      <c r="B236" s="2">
        <v>46093</v>
      </c>
      <c r="C236" t="s">
        <v>117</v>
      </c>
      <c r="D236" t="s">
        <v>14</v>
      </c>
      <c r="E236" t="s">
        <v>65</v>
      </c>
      <c r="F236" t="s">
        <v>96</v>
      </c>
      <c r="G236">
        <v>4</v>
      </c>
      <c r="H236">
        <v>900</v>
      </c>
      <c r="I236">
        <v>20</v>
      </c>
      <c r="J236" t="s">
        <v>29</v>
      </c>
      <c r="K236" t="s">
        <v>36</v>
      </c>
      <c r="L236">
        <v>2880</v>
      </c>
      <c r="M236" t="s">
        <v>767</v>
      </c>
      <c r="N236">
        <v>3</v>
      </c>
      <c r="O236" s="2">
        <v>46082</v>
      </c>
    </row>
    <row r="237" spans="1:15" x14ac:dyDescent="0.3">
      <c r="A237" t="s">
        <v>437</v>
      </c>
      <c r="B237" s="2">
        <v>46150</v>
      </c>
      <c r="C237" t="s">
        <v>220</v>
      </c>
      <c r="D237" t="s">
        <v>40</v>
      </c>
      <c r="E237" t="s">
        <v>65</v>
      </c>
      <c r="F237" t="s">
        <v>96</v>
      </c>
      <c r="G237">
        <v>4</v>
      </c>
      <c r="H237">
        <v>900</v>
      </c>
      <c r="I237">
        <v>20</v>
      </c>
      <c r="J237" t="s">
        <v>29</v>
      </c>
      <c r="K237" t="s">
        <v>22</v>
      </c>
      <c r="L237">
        <v>2880</v>
      </c>
      <c r="M237" t="s">
        <v>769</v>
      </c>
      <c r="N237">
        <v>5</v>
      </c>
      <c r="O237" s="2">
        <v>46143</v>
      </c>
    </row>
    <row r="238" spans="1:15" x14ac:dyDescent="0.3">
      <c r="A238" t="s">
        <v>408</v>
      </c>
      <c r="B238" s="2">
        <v>46192</v>
      </c>
      <c r="C238" t="s">
        <v>122</v>
      </c>
      <c r="D238" t="s">
        <v>26</v>
      </c>
      <c r="E238" t="s">
        <v>15</v>
      </c>
      <c r="F238" t="s">
        <v>78</v>
      </c>
      <c r="G238">
        <v>4</v>
      </c>
      <c r="H238">
        <v>900</v>
      </c>
      <c r="I238">
        <v>20</v>
      </c>
      <c r="J238" t="s">
        <v>29</v>
      </c>
      <c r="K238" t="s">
        <v>22</v>
      </c>
      <c r="L238">
        <v>2880</v>
      </c>
      <c r="M238" t="s">
        <v>770</v>
      </c>
      <c r="N238">
        <v>6</v>
      </c>
      <c r="O238" s="2">
        <v>46174</v>
      </c>
    </row>
    <row r="239" spans="1:15" x14ac:dyDescent="0.3">
      <c r="A239" t="s">
        <v>165</v>
      </c>
      <c r="B239" s="2">
        <v>46178</v>
      </c>
      <c r="C239" t="s">
        <v>166</v>
      </c>
      <c r="D239" t="s">
        <v>40</v>
      </c>
      <c r="E239" t="s">
        <v>34</v>
      </c>
      <c r="F239" t="s">
        <v>62</v>
      </c>
      <c r="G239">
        <v>4</v>
      </c>
      <c r="H239">
        <v>900</v>
      </c>
      <c r="I239">
        <v>20</v>
      </c>
      <c r="J239" t="s">
        <v>55</v>
      </c>
      <c r="K239" t="s">
        <v>30</v>
      </c>
      <c r="L239">
        <v>2880</v>
      </c>
      <c r="M239" t="s">
        <v>770</v>
      </c>
      <c r="N239">
        <v>6</v>
      </c>
      <c r="O239" s="2">
        <v>46174</v>
      </c>
    </row>
    <row r="240" spans="1:15" x14ac:dyDescent="0.3">
      <c r="A240" t="s">
        <v>281</v>
      </c>
      <c r="B240" s="2">
        <v>46139</v>
      </c>
      <c r="C240" t="s">
        <v>99</v>
      </c>
      <c r="D240" t="s">
        <v>766</v>
      </c>
      <c r="E240" t="s">
        <v>65</v>
      </c>
      <c r="F240" t="s">
        <v>106</v>
      </c>
      <c r="G240">
        <v>4</v>
      </c>
      <c r="H240">
        <v>750</v>
      </c>
      <c r="I240">
        <v>5</v>
      </c>
      <c r="J240" t="s">
        <v>55</v>
      </c>
      <c r="K240" t="s">
        <v>36</v>
      </c>
      <c r="L240">
        <v>2850</v>
      </c>
      <c r="M240" t="s">
        <v>768</v>
      </c>
      <c r="N240">
        <v>4</v>
      </c>
      <c r="O240" s="2">
        <v>46113</v>
      </c>
    </row>
    <row r="241" spans="1:15" x14ac:dyDescent="0.3">
      <c r="A241" t="s">
        <v>491</v>
      </c>
      <c r="B241" s="2">
        <v>46192</v>
      </c>
      <c r="C241" t="s">
        <v>109</v>
      </c>
      <c r="D241" t="s">
        <v>40</v>
      </c>
      <c r="E241" t="s">
        <v>15</v>
      </c>
      <c r="F241" t="s">
        <v>16</v>
      </c>
      <c r="G241">
        <v>2</v>
      </c>
      <c r="H241">
        <v>1500</v>
      </c>
      <c r="I241">
        <v>5</v>
      </c>
      <c r="J241" t="s">
        <v>764</v>
      </c>
      <c r="K241" t="s">
        <v>36</v>
      </c>
      <c r="L241">
        <v>2850</v>
      </c>
      <c r="M241" t="s">
        <v>770</v>
      </c>
      <c r="N241">
        <v>6</v>
      </c>
      <c r="O241" s="2">
        <v>46174</v>
      </c>
    </row>
    <row r="242" spans="1:15" x14ac:dyDescent="0.3">
      <c r="A242" t="s">
        <v>319</v>
      </c>
      <c r="B242" s="2">
        <v>46055</v>
      </c>
      <c r="C242" t="s">
        <v>159</v>
      </c>
      <c r="D242" t="s">
        <v>14</v>
      </c>
      <c r="E242" t="s">
        <v>34</v>
      </c>
      <c r="F242" t="s">
        <v>35</v>
      </c>
      <c r="G242">
        <v>1</v>
      </c>
      <c r="H242">
        <v>3500</v>
      </c>
      <c r="I242">
        <v>20</v>
      </c>
      <c r="J242" t="s">
        <v>55</v>
      </c>
      <c r="K242" t="s">
        <v>22</v>
      </c>
      <c r="L242">
        <v>2800</v>
      </c>
      <c r="M242" t="s">
        <v>765</v>
      </c>
      <c r="N242">
        <v>2</v>
      </c>
      <c r="O242" s="2">
        <v>46054</v>
      </c>
    </row>
    <row r="243" spans="1:15" x14ac:dyDescent="0.3">
      <c r="A243" t="s">
        <v>447</v>
      </c>
      <c r="B243" s="2">
        <v>46099</v>
      </c>
      <c r="C243" t="s">
        <v>125</v>
      </c>
      <c r="D243" t="s">
        <v>26</v>
      </c>
      <c r="E243" t="s">
        <v>65</v>
      </c>
      <c r="F243" t="s">
        <v>92</v>
      </c>
      <c r="G243">
        <v>5</v>
      </c>
      <c r="H243">
        <v>700</v>
      </c>
      <c r="I243">
        <v>20</v>
      </c>
      <c r="J243" t="s">
        <v>29</v>
      </c>
      <c r="K243" t="s">
        <v>30</v>
      </c>
      <c r="L243">
        <v>2800</v>
      </c>
      <c r="M243" t="s">
        <v>767</v>
      </c>
      <c r="N243">
        <v>3</v>
      </c>
      <c r="O243" s="2">
        <v>46082</v>
      </c>
    </row>
    <row r="244" spans="1:15" x14ac:dyDescent="0.3">
      <c r="A244" t="s">
        <v>442</v>
      </c>
      <c r="B244" s="2">
        <v>46138</v>
      </c>
      <c r="C244" t="s">
        <v>33</v>
      </c>
      <c r="D244" t="s">
        <v>26</v>
      </c>
      <c r="E244" t="s">
        <v>65</v>
      </c>
      <c r="F244" t="s">
        <v>92</v>
      </c>
      <c r="G244">
        <v>5</v>
      </c>
      <c r="H244">
        <v>700</v>
      </c>
      <c r="I244">
        <v>20</v>
      </c>
      <c r="J244" t="s">
        <v>764</v>
      </c>
      <c r="K244" t="s">
        <v>22</v>
      </c>
      <c r="L244">
        <v>2800</v>
      </c>
      <c r="M244" t="s">
        <v>768</v>
      </c>
      <c r="N244">
        <v>4</v>
      </c>
      <c r="O244" s="2">
        <v>46113</v>
      </c>
    </row>
    <row r="245" spans="1:15" x14ac:dyDescent="0.3">
      <c r="A245" t="s">
        <v>476</v>
      </c>
      <c r="B245" s="2">
        <v>46086</v>
      </c>
      <c r="C245" t="s">
        <v>154</v>
      </c>
      <c r="D245" t="s">
        <v>40</v>
      </c>
      <c r="E245" t="s">
        <v>27</v>
      </c>
      <c r="F245" t="s">
        <v>138</v>
      </c>
      <c r="G245">
        <v>5</v>
      </c>
      <c r="H245">
        <v>650</v>
      </c>
      <c r="I245">
        <v>15</v>
      </c>
      <c r="J245" t="s">
        <v>51</v>
      </c>
      <c r="K245" t="s">
        <v>36</v>
      </c>
      <c r="L245">
        <v>2762.5</v>
      </c>
      <c r="M245" t="s">
        <v>767</v>
      </c>
      <c r="N245">
        <v>3</v>
      </c>
      <c r="O245" s="2">
        <v>46082</v>
      </c>
    </row>
    <row r="246" spans="1:15" x14ac:dyDescent="0.3">
      <c r="A246" t="s">
        <v>143</v>
      </c>
      <c r="B246" s="2">
        <v>46110</v>
      </c>
      <c r="C246" t="s">
        <v>21</v>
      </c>
      <c r="D246" t="s">
        <v>26</v>
      </c>
      <c r="E246" t="s">
        <v>27</v>
      </c>
      <c r="F246" t="s">
        <v>138</v>
      </c>
      <c r="G246">
        <v>5</v>
      </c>
      <c r="H246">
        <v>650</v>
      </c>
      <c r="I246">
        <v>15</v>
      </c>
      <c r="J246" t="s">
        <v>51</v>
      </c>
      <c r="K246" t="s">
        <v>36</v>
      </c>
      <c r="L246">
        <v>2762.5</v>
      </c>
      <c r="M246" t="s">
        <v>767</v>
      </c>
      <c r="N246">
        <v>3</v>
      </c>
      <c r="O246" s="2">
        <v>46082</v>
      </c>
    </row>
    <row r="247" spans="1:15" x14ac:dyDescent="0.3">
      <c r="A247" t="s">
        <v>736</v>
      </c>
      <c r="B247" s="2">
        <v>46180</v>
      </c>
      <c r="C247" t="s">
        <v>48</v>
      </c>
      <c r="D247" t="s">
        <v>14</v>
      </c>
      <c r="E247" t="s">
        <v>65</v>
      </c>
      <c r="F247" t="s">
        <v>85</v>
      </c>
      <c r="G247">
        <v>5</v>
      </c>
      <c r="H247">
        <v>650</v>
      </c>
      <c r="I247">
        <v>15</v>
      </c>
      <c r="J247" t="s">
        <v>55</v>
      </c>
      <c r="K247" t="s">
        <v>30</v>
      </c>
      <c r="L247">
        <v>2762.5</v>
      </c>
      <c r="M247" t="s">
        <v>770</v>
      </c>
      <c r="N247">
        <v>6</v>
      </c>
      <c r="O247" s="2">
        <v>46174</v>
      </c>
    </row>
    <row r="248" spans="1:15" x14ac:dyDescent="0.3">
      <c r="A248" t="s">
        <v>637</v>
      </c>
      <c r="B248" s="2">
        <v>46041</v>
      </c>
      <c r="C248" t="s">
        <v>54</v>
      </c>
      <c r="D248" t="s">
        <v>72</v>
      </c>
      <c r="E248" t="s">
        <v>27</v>
      </c>
      <c r="F248" t="s">
        <v>171</v>
      </c>
      <c r="G248">
        <v>5</v>
      </c>
      <c r="H248">
        <v>550</v>
      </c>
      <c r="I248">
        <v>0</v>
      </c>
      <c r="J248" t="s">
        <v>51</v>
      </c>
      <c r="K248" t="s">
        <v>30</v>
      </c>
      <c r="L248">
        <v>2750</v>
      </c>
      <c r="M248" t="s">
        <v>763</v>
      </c>
      <c r="N248">
        <v>1</v>
      </c>
      <c r="O248" s="2">
        <v>46023</v>
      </c>
    </row>
    <row r="249" spans="1:15" x14ac:dyDescent="0.3">
      <c r="A249" t="s">
        <v>733</v>
      </c>
      <c r="B249" s="2">
        <v>46131</v>
      </c>
      <c r="C249" t="s">
        <v>159</v>
      </c>
      <c r="D249" t="s">
        <v>40</v>
      </c>
      <c r="E249" t="s">
        <v>27</v>
      </c>
      <c r="F249" t="s">
        <v>171</v>
      </c>
      <c r="G249">
        <v>5</v>
      </c>
      <c r="H249">
        <v>550</v>
      </c>
      <c r="I249">
        <v>0</v>
      </c>
      <c r="J249" t="s">
        <v>764</v>
      </c>
      <c r="K249" t="s">
        <v>18</v>
      </c>
      <c r="L249">
        <v>2750</v>
      </c>
      <c r="M249" t="s">
        <v>768</v>
      </c>
      <c r="N249">
        <v>4</v>
      </c>
      <c r="O249" s="2">
        <v>46113</v>
      </c>
    </row>
    <row r="250" spans="1:15" x14ac:dyDescent="0.3">
      <c r="A250" t="s">
        <v>528</v>
      </c>
      <c r="B250" s="2">
        <v>46049</v>
      </c>
      <c r="C250" t="s">
        <v>105</v>
      </c>
      <c r="D250" t="s">
        <v>40</v>
      </c>
      <c r="E250" t="s">
        <v>34</v>
      </c>
      <c r="F250" t="s">
        <v>41</v>
      </c>
      <c r="G250">
        <v>2</v>
      </c>
      <c r="H250">
        <v>1600</v>
      </c>
      <c r="I250">
        <v>15</v>
      </c>
      <c r="J250" t="s">
        <v>29</v>
      </c>
      <c r="K250" t="s">
        <v>18</v>
      </c>
      <c r="L250">
        <v>2720</v>
      </c>
      <c r="M250" t="s">
        <v>763</v>
      </c>
      <c r="N250">
        <v>1</v>
      </c>
      <c r="O250" s="2">
        <v>46023</v>
      </c>
    </row>
    <row r="251" spans="1:15" x14ac:dyDescent="0.3">
      <c r="A251" t="s">
        <v>413</v>
      </c>
      <c r="B251" s="2">
        <v>46086</v>
      </c>
      <c r="C251" t="s">
        <v>142</v>
      </c>
      <c r="D251" t="s">
        <v>40</v>
      </c>
      <c r="E251" t="s">
        <v>34</v>
      </c>
      <c r="F251" t="s">
        <v>41</v>
      </c>
      <c r="G251">
        <v>2</v>
      </c>
      <c r="H251">
        <v>1600</v>
      </c>
      <c r="I251">
        <v>15</v>
      </c>
      <c r="J251" t="s">
        <v>29</v>
      </c>
      <c r="K251" t="s">
        <v>36</v>
      </c>
      <c r="L251">
        <v>2720</v>
      </c>
      <c r="M251" t="s">
        <v>767</v>
      </c>
      <c r="N251">
        <v>3</v>
      </c>
      <c r="O251" s="2">
        <v>46082</v>
      </c>
    </row>
    <row r="252" spans="1:15" x14ac:dyDescent="0.3">
      <c r="A252" t="s">
        <v>668</v>
      </c>
      <c r="B252" s="2">
        <v>46129</v>
      </c>
      <c r="C252" t="s">
        <v>215</v>
      </c>
      <c r="D252" t="s">
        <v>40</v>
      </c>
      <c r="E252" t="s">
        <v>34</v>
      </c>
      <c r="F252" t="s">
        <v>41</v>
      </c>
      <c r="G252">
        <v>2</v>
      </c>
      <c r="H252">
        <v>1600</v>
      </c>
      <c r="I252">
        <v>15</v>
      </c>
      <c r="J252" t="s">
        <v>55</v>
      </c>
      <c r="K252" t="s">
        <v>18</v>
      </c>
      <c r="L252">
        <v>2720</v>
      </c>
      <c r="M252" t="s">
        <v>768</v>
      </c>
      <c r="N252">
        <v>4</v>
      </c>
      <c r="O252" s="2">
        <v>46113</v>
      </c>
    </row>
    <row r="253" spans="1:15" x14ac:dyDescent="0.3">
      <c r="A253" t="s">
        <v>455</v>
      </c>
      <c r="B253" s="2">
        <v>46112</v>
      </c>
      <c r="C253" t="s">
        <v>99</v>
      </c>
      <c r="D253" t="s">
        <v>26</v>
      </c>
      <c r="E253" t="s">
        <v>34</v>
      </c>
      <c r="F253" t="s">
        <v>62</v>
      </c>
      <c r="G253">
        <v>3</v>
      </c>
      <c r="H253">
        <v>900</v>
      </c>
      <c r="I253">
        <v>0</v>
      </c>
      <c r="J253" t="s">
        <v>29</v>
      </c>
      <c r="K253" t="s">
        <v>18</v>
      </c>
      <c r="L253">
        <v>2700</v>
      </c>
      <c r="M253" t="s">
        <v>767</v>
      </c>
      <c r="N253">
        <v>3</v>
      </c>
      <c r="O253" s="2">
        <v>46082</v>
      </c>
    </row>
    <row r="254" spans="1:15" x14ac:dyDescent="0.3">
      <c r="A254" t="s">
        <v>546</v>
      </c>
      <c r="B254" s="2">
        <v>46141</v>
      </c>
      <c r="C254" t="s">
        <v>33</v>
      </c>
      <c r="D254" t="s">
        <v>14</v>
      </c>
      <c r="E254" t="s">
        <v>34</v>
      </c>
      <c r="F254" t="s">
        <v>62</v>
      </c>
      <c r="G254">
        <v>3</v>
      </c>
      <c r="H254">
        <v>900</v>
      </c>
      <c r="I254">
        <v>0</v>
      </c>
      <c r="J254" t="s">
        <v>29</v>
      </c>
      <c r="K254" t="s">
        <v>36</v>
      </c>
      <c r="L254">
        <v>2700</v>
      </c>
      <c r="M254" t="s">
        <v>768</v>
      </c>
      <c r="N254">
        <v>4</v>
      </c>
      <c r="O254" s="2">
        <v>46113</v>
      </c>
    </row>
    <row r="255" spans="1:15" x14ac:dyDescent="0.3">
      <c r="A255" t="s">
        <v>560</v>
      </c>
      <c r="B255" s="2">
        <v>46058</v>
      </c>
      <c r="C255" t="s">
        <v>125</v>
      </c>
      <c r="D255" t="s">
        <v>72</v>
      </c>
      <c r="E255" t="s">
        <v>65</v>
      </c>
      <c r="F255" t="s">
        <v>92</v>
      </c>
      <c r="G255">
        <v>4</v>
      </c>
      <c r="H255">
        <v>700</v>
      </c>
      <c r="I255">
        <v>5</v>
      </c>
      <c r="J255" t="s">
        <v>29</v>
      </c>
      <c r="K255" t="s">
        <v>22</v>
      </c>
      <c r="L255">
        <v>2660</v>
      </c>
      <c r="M255" t="s">
        <v>765</v>
      </c>
      <c r="N255">
        <v>2</v>
      </c>
      <c r="O255" s="2">
        <v>46054</v>
      </c>
    </row>
    <row r="256" spans="1:15" x14ac:dyDescent="0.3">
      <c r="A256" t="s">
        <v>754</v>
      </c>
      <c r="B256" s="2">
        <v>46202</v>
      </c>
      <c r="C256" t="s">
        <v>95</v>
      </c>
      <c r="D256" t="s">
        <v>72</v>
      </c>
      <c r="E256" t="s">
        <v>49</v>
      </c>
      <c r="F256" t="s">
        <v>351</v>
      </c>
      <c r="G256">
        <v>1</v>
      </c>
      <c r="H256">
        <v>2800</v>
      </c>
      <c r="I256">
        <v>5</v>
      </c>
      <c r="J256" t="s">
        <v>764</v>
      </c>
      <c r="K256" t="s">
        <v>18</v>
      </c>
      <c r="L256">
        <v>2660</v>
      </c>
      <c r="M256" t="s">
        <v>770</v>
      </c>
      <c r="N256">
        <v>6</v>
      </c>
      <c r="O256" s="2">
        <v>46174</v>
      </c>
    </row>
    <row r="257" spans="1:15" x14ac:dyDescent="0.3">
      <c r="A257" t="s">
        <v>342</v>
      </c>
      <c r="B257" s="2">
        <v>46052</v>
      </c>
      <c r="C257" t="s">
        <v>33</v>
      </c>
      <c r="D257" t="s">
        <v>26</v>
      </c>
      <c r="E257" t="s">
        <v>27</v>
      </c>
      <c r="F257" t="s">
        <v>171</v>
      </c>
      <c r="G257">
        <v>5</v>
      </c>
      <c r="H257">
        <v>550</v>
      </c>
      <c r="I257">
        <v>5</v>
      </c>
      <c r="J257" t="s">
        <v>29</v>
      </c>
      <c r="K257" t="s">
        <v>36</v>
      </c>
      <c r="L257">
        <v>2612.5</v>
      </c>
      <c r="M257" t="s">
        <v>763</v>
      </c>
      <c r="N257">
        <v>1</v>
      </c>
      <c r="O257" s="2">
        <v>46023</v>
      </c>
    </row>
    <row r="258" spans="1:15" x14ac:dyDescent="0.3">
      <c r="A258" t="s">
        <v>331</v>
      </c>
      <c r="B258" s="2">
        <v>46039</v>
      </c>
      <c r="C258" t="s">
        <v>105</v>
      </c>
      <c r="D258" t="s">
        <v>26</v>
      </c>
      <c r="E258" t="s">
        <v>27</v>
      </c>
      <c r="F258" t="s">
        <v>138</v>
      </c>
      <c r="G258">
        <v>5</v>
      </c>
      <c r="H258">
        <v>650</v>
      </c>
      <c r="I258">
        <v>20</v>
      </c>
      <c r="J258" t="s">
        <v>51</v>
      </c>
      <c r="K258" t="s">
        <v>18</v>
      </c>
      <c r="L258">
        <v>2600</v>
      </c>
      <c r="M258" t="s">
        <v>763</v>
      </c>
      <c r="N258">
        <v>1</v>
      </c>
      <c r="O258" s="2">
        <v>46023</v>
      </c>
    </row>
    <row r="259" spans="1:15" x14ac:dyDescent="0.3">
      <c r="A259" t="s">
        <v>370</v>
      </c>
      <c r="B259" s="2">
        <v>46033</v>
      </c>
      <c r="C259" t="s">
        <v>13</v>
      </c>
      <c r="D259" t="s">
        <v>72</v>
      </c>
      <c r="E259" t="s">
        <v>27</v>
      </c>
      <c r="F259" t="s">
        <v>138</v>
      </c>
      <c r="G259">
        <v>4</v>
      </c>
      <c r="H259">
        <v>650</v>
      </c>
      <c r="I259">
        <v>0</v>
      </c>
      <c r="J259" t="s">
        <v>55</v>
      </c>
      <c r="K259" t="s">
        <v>30</v>
      </c>
      <c r="L259">
        <v>2600</v>
      </c>
      <c r="M259" t="s">
        <v>763</v>
      </c>
      <c r="N259">
        <v>1</v>
      </c>
      <c r="O259" s="2">
        <v>46023</v>
      </c>
    </row>
    <row r="260" spans="1:15" x14ac:dyDescent="0.3">
      <c r="A260" t="s">
        <v>328</v>
      </c>
      <c r="B260" s="2">
        <v>46180</v>
      </c>
      <c r="C260" t="s">
        <v>117</v>
      </c>
      <c r="D260" t="s">
        <v>26</v>
      </c>
      <c r="E260" t="s">
        <v>27</v>
      </c>
      <c r="F260" t="s">
        <v>138</v>
      </c>
      <c r="G260">
        <v>4</v>
      </c>
      <c r="H260">
        <v>650</v>
      </c>
      <c r="I260">
        <v>0</v>
      </c>
      <c r="J260" t="s">
        <v>764</v>
      </c>
      <c r="K260" t="s">
        <v>18</v>
      </c>
      <c r="L260">
        <v>2600</v>
      </c>
      <c r="M260" t="s">
        <v>770</v>
      </c>
      <c r="N260">
        <v>6</v>
      </c>
      <c r="O260" s="2">
        <v>46174</v>
      </c>
    </row>
    <row r="261" spans="1:15" x14ac:dyDescent="0.3">
      <c r="A261" t="s">
        <v>545</v>
      </c>
      <c r="B261" s="2">
        <v>46050</v>
      </c>
      <c r="C261" t="s">
        <v>220</v>
      </c>
      <c r="D261" t="s">
        <v>40</v>
      </c>
      <c r="E261" t="s">
        <v>34</v>
      </c>
      <c r="F261" t="s">
        <v>62</v>
      </c>
      <c r="G261">
        <v>3</v>
      </c>
      <c r="H261">
        <v>900</v>
      </c>
      <c r="I261">
        <v>5</v>
      </c>
      <c r="J261" t="s">
        <v>55</v>
      </c>
      <c r="K261" t="s">
        <v>18</v>
      </c>
      <c r="L261">
        <v>2565</v>
      </c>
      <c r="M261" t="s">
        <v>763</v>
      </c>
      <c r="N261">
        <v>1</v>
      </c>
      <c r="O261" s="2">
        <v>46023</v>
      </c>
    </row>
    <row r="262" spans="1:15" x14ac:dyDescent="0.3">
      <c r="A262" t="s">
        <v>359</v>
      </c>
      <c r="B262" s="2">
        <v>46052</v>
      </c>
      <c r="C262" t="s">
        <v>176</v>
      </c>
      <c r="D262" t="s">
        <v>40</v>
      </c>
      <c r="E262" t="s">
        <v>65</v>
      </c>
      <c r="F262" t="s">
        <v>96</v>
      </c>
      <c r="G262">
        <v>3</v>
      </c>
      <c r="H262">
        <v>900</v>
      </c>
      <c r="I262">
        <v>5</v>
      </c>
      <c r="J262" t="s">
        <v>29</v>
      </c>
      <c r="K262" t="s">
        <v>30</v>
      </c>
      <c r="L262">
        <v>2565</v>
      </c>
      <c r="M262" t="s">
        <v>763</v>
      </c>
      <c r="N262">
        <v>1</v>
      </c>
      <c r="O262" s="2">
        <v>46023</v>
      </c>
    </row>
    <row r="263" spans="1:15" x14ac:dyDescent="0.3">
      <c r="A263" t="s">
        <v>617</v>
      </c>
      <c r="B263" s="2">
        <v>46142</v>
      </c>
      <c r="C263" t="s">
        <v>179</v>
      </c>
      <c r="D263" t="s">
        <v>72</v>
      </c>
      <c r="E263" t="s">
        <v>49</v>
      </c>
      <c r="F263" t="s">
        <v>58</v>
      </c>
      <c r="G263">
        <v>1</v>
      </c>
      <c r="H263">
        <v>3200</v>
      </c>
      <c r="I263">
        <v>20</v>
      </c>
      <c r="J263" t="s">
        <v>51</v>
      </c>
      <c r="K263" t="s">
        <v>22</v>
      </c>
      <c r="L263">
        <v>2560</v>
      </c>
      <c r="M263" t="s">
        <v>768</v>
      </c>
      <c r="N263">
        <v>4</v>
      </c>
      <c r="O263" s="2">
        <v>46113</v>
      </c>
    </row>
    <row r="264" spans="1:15" x14ac:dyDescent="0.3">
      <c r="A264" t="s">
        <v>466</v>
      </c>
      <c r="B264" s="2">
        <v>46139</v>
      </c>
      <c r="C264" t="s">
        <v>249</v>
      </c>
      <c r="D264" t="s">
        <v>72</v>
      </c>
      <c r="E264" t="s">
        <v>34</v>
      </c>
      <c r="F264" t="s">
        <v>41</v>
      </c>
      <c r="G264">
        <v>2</v>
      </c>
      <c r="H264">
        <v>1600</v>
      </c>
      <c r="I264">
        <v>20</v>
      </c>
      <c r="J264" t="s">
        <v>29</v>
      </c>
      <c r="K264" t="s">
        <v>30</v>
      </c>
      <c r="L264">
        <v>2560</v>
      </c>
      <c r="M264" t="s">
        <v>768</v>
      </c>
      <c r="N264">
        <v>4</v>
      </c>
      <c r="O264" s="2">
        <v>46113</v>
      </c>
    </row>
    <row r="265" spans="1:15" x14ac:dyDescent="0.3">
      <c r="A265" t="s">
        <v>367</v>
      </c>
      <c r="B265" s="2">
        <v>46032</v>
      </c>
      <c r="C265" t="s">
        <v>117</v>
      </c>
      <c r="D265" t="s">
        <v>26</v>
      </c>
      <c r="E265" t="s">
        <v>65</v>
      </c>
      <c r="F265" t="s">
        <v>66</v>
      </c>
      <c r="G265">
        <v>3</v>
      </c>
      <c r="H265">
        <v>850</v>
      </c>
      <c r="I265">
        <v>0</v>
      </c>
      <c r="J265" t="s">
        <v>764</v>
      </c>
      <c r="K265" t="s">
        <v>18</v>
      </c>
      <c r="L265">
        <v>2550</v>
      </c>
      <c r="M265" t="s">
        <v>763</v>
      </c>
      <c r="N265">
        <v>1</v>
      </c>
      <c r="O265" s="2">
        <v>46023</v>
      </c>
    </row>
    <row r="266" spans="1:15" x14ac:dyDescent="0.3">
      <c r="A266" t="s">
        <v>333</v>
      </c>
      <c r="B266" s="2">
        <v>46128</v>
      </c>
      <c r="C266" t="s">
        <v>179</v>
      </c>
      <c r="D266" t="s">
        <v>72</v>
      </c>
      <c r="E266" t="s">
        <v>65</v>
      </c>
      <c r="F266" t="s">
        <v>106</v>
      </c>
      <c r="G266">
        <v>4</v>
      </c>
      <c r="H266">
        <v>750</v>
      </c>
      <c r="I266">
        <v>15</v>
      </c>
      <c r="J266" t="s">
        <v>764</v>
      </c>
      <c r="K266" t="s">
        <v>30</v>
      </c>
      <c r="L266">
        <v>2550</v>
      </c>
      <c r="M266" t="s">
        <v>768</v>
      </c>
      <c r="N266">
        <v>4</v>
      </c>
      <c r="O266" s="2">
        <v>46113</v>
      </c>
    </row>
    <row r="267" spans="1:15" x14ac:dyDescent="0.3">
      <c r="A267" t="s">
        <v>350</v>
      </c>
      <c r="B267" s="2">
        <v>46052</v>
      </c>
      <c r="C267" t="s">
        <v>54</v>
      </c>
      <c r="D267" t="s">
        <v>72</v>
      </c>
      <c r="E267" t="s">
        <v>49</v>
      </c>
      <c r="F267" t="s">
        <v>351</v>
      </c>
      <c r="G267">
        <v>1</v>
      </c>
      <c r="H267">
        <v>2800</v>
      </c>
      <c r="I267">
        <v>10</v>
      </c>
      <c r="J267" t="s">
        <v>29</v>
      </c>
      <c r="K267" t="s">
        <v>30</v>
      </c>
      <c r="L267">
        <v>2520</v>
      </c>
      <c r="M267" t="s">
        <v>763</v>
      </c>
      <c r="N267">
        <v>1</v>
      </c>
      <c r="O267" s="2">
        <v>46023</v>
      </c>
    </row>
    <row r="268" spans="1:15" x14ac:dyDescent="0.3">
      <c r="A268" t="s">
        <v>542</v>
      </c>
      <c r="B268" s="2">
        <v>46172</v>
      </c>
      <c r="C268" t="s">
        <v>176</v>
      </c>
      <c r="D268" t="s">
        <v>72</v>
      </c>
      <c r="E268" t="s">
        <v>27</v>
      </c>
      <c r="F268" t="s">
        <v>28</v>
      </c>
      <c r="G268">
        <v>5</v>
      </c>
      <c r="H268">
        <v>500</v>
      </c>
      <c r="I268">
        <v>0</v>
      </c>
      <c r="J268" t="s">
        <v>51</v>
      </c>
      <c r="K268" t="s">
        <v>36</v>
      </c>
      <c r="L268">
        <v>2500</v>
      </c>
      <c r="M268" t="s">
        <v>769</v>
      </c>
      <c r="N268">
        <v>5</v>
      </c>
      <c r="O268" s="2">
        <v>46143</v>
      </c>
    </row>
    <row r="269" spans="1:15" x14ac:dyDescent="0.3">
      <c r="A269" t="s">
        <v>302</v>
      </c>
      <c r="B269" s="2">
        <v>46079</v>
      </c>
      <c r="C269" t="s">
        <v>249</v>
      </c>
      <c r="D269" t="s">
        <v>14</v>
      </c>
      <c r="E269" t="s">
        <v>27</v>
      </c>
      <c r="F269" t="s">
        <v>171</v>
      </c>
      <c r="G269">
        <v>5</v>
      </c>
      <c r="H269">
        <v>550</v>
      </c>
      <c r="I269">
        <v>10</v>
      </c>
      <c r="J269" t="s">
        <v>55</v>
      </c>
      <c r="K269" t="s">
        <v>36</v>
      </c>
      <c r="L269">
        <v>2475</v>
      </c>
      <c r="M269" t="s">
        <v>765</v>
      </c>
      <c r="N269">
        <v>2</v>
      </c>
      <c r="O269" s="2">
        <v>46054</v>
      </c>
    </row>
    <row r="270" spans="1:15" x14ac:dyDescent="0.3">
      <c r="A270" t="s">
        <v>292</v>
      </c>
      <c r="B270" s="2">
        <v>46185</v>
      </c>
      <c r="C270" t="s">
        <v>133</v>
      </c>
      <c r="D270" t="s">
        <v>40</v>
      </c>
      <c r="E270" t="s">
        <v>65</v>
      </c>
      <c r="F270" t="s">
        <v>85</v>
      </c>
      <c r="G270">
        <v>4</v>
      </c>
      <c r="H270">
        <v>650</v>
      </c>
      <c r="I270">
        <v>5</v>
      </c>
      <c r="J270" t="s">
        <v>51</v>
      </c>
      <c r="K270" t="s">
        <v>36</v>
      </c>
      <c r="L270">
        <v>2470</v>
      </c>
      <c r="M270" t="s">
        <v>770</v>
      </c>
      <c r="N270">
        <v>6</v>
      </c>
      <c r="O270" s="2">
        <v>46174</v>
      </c>
    </row>
    <row r="271" spans="1:15" x14ac:dyDescent="0.3">
      <c r="A271" t="s">
        <v>547</v>
      </c>
      <c r="B271" s="2">
        <v>46044</v>
      </c>
      <c r="C271" t="s">
        <v>142</v>
      </c>
      <c r="D271" t="s">
        <v>14</v>
      </c>
      <c r="E271" t="s">
        <v>34</v>
      </c>
      <c r="F271" t="s">
        <v>62</v>
      </c>
      <c r="G271">
        <v>3</v>
      </c>
      <c r="H271">
        <v>900</v>
      </c>
      <c r="I271">
        <v>10</v>
      </c>
      <c r="J271" t="s">
        <v>51</v>
      </c>
      <c r="K271" t="s">
        <v>18</v>
      </c>
      <c r="L271">
        <v>2430</v>
      </c>
      <c r="M271" t="s">
        <v>763</v>
      </c>
      <c r="N271">
        <v>1</v>
      </c>
      <c r="O271" s="2">
        <v>46023</v>
      </c>
    </row>
    <row r="272" spans="1:15" x14ac:dyDescent="0.3">
      <c r="A272" t="s">
        <v>255</v>
      </c>
      <c r="B272" s="2">
        <v>46127</v>
      </c>
      <c r="C272" t="s">
        <v>25</v>
      </c>
      <c r="D272" t="s">
        <v>72</v>
      </c>
      <c r="E272" t="s">
        <v>49</v>
      </c>
      <c r="F272" t="s">
        <v>182</v>
      </c>
      <c r="G272">
        <v>3</v>
      </c>
      <c r="H272">
        <v>800</v>
      </c>
      <c r="I272">
        <v>0</v>
      </c>
      <c r="J272" t="s">
        <v>55</v>
      </c>
      <c r="K272" t="s">
        <v>30</v>
      </c>
      <c r="L272">
        <v>2400</v>
      </c>
      <c r="M272" t="s">
        <v>768</v>
      </c>
      <c r="N272">
        <v>4</v>
      </c>
      <c r="O272" s="2">
        <v>46113</v>
      </c>
    </row>
    <row r="273" spans="1:15" x14ac:dyDescent="0.3">
      <c r="A273" t="s">
        <v>337</v>
      </c>
      <c r="B273" s="2">
        <v>46133</v>
      </c>
      <c r="C273" t="s">
        <v>142</v>
      </c>
      <c r="D273" t="s">
        <v>26</v>
      </c>
      <c r="E273" t="s">
        <v>15</v>
      </c>
      <c r="F273" t="s">
        <v>16</v>
      </c>
      <c r="G273">
        <v>2</v>
      </c>
      <c r="H273">
        <v>1500</v>
      </c>
      <c r="I273">
        <v>20</v>
      </c>
      <c r="J273" t="s">
        <v>764</v>
      </c>
      <c r="K273" t="s">
        <v>30</v>
      </c>
      <c r="L273">
        <v>2400</v>
      </c>
      <c r="M273" t="s">
        <v>768</v>
      </c>
      <c r="N273">
        <v>4</v>
      </c>
      <c r="O273" s="2">
        <v>46113</v>
      </c>
    </row>
    <row r="274" spans="1:15" x14ac:dyDescent="0.3">
      <c r="A274" t="s">
        <v>690</v>
      </c>
      <c r="B274" s="2">
        <v>46147</v>
      </c>
      <c r="C274" t="s">
        <v>179</v>
      </c>
      <c r="D274" t="s">
        <v>14</v>
      </c>
      <c r="E274" t="s">
        <v>49</v>
      </c>
      <c r="F274" t="s">
        <v>182</v>
      </c>
      <c r="G274">
        <v>3</v>
      </c>
      <c r="H274">
        <v>800</v>
      </c>
      <c r="I274">
        <v>0</v>
      </c>
      <c r="J274" t="s">
        <v>764</v>
      </c>
      <c r="K274" t="s">
        <v>18</v>
      </c>
      <c r="L274">
        <v>2400</v>
      </c>
      <c r="M274" t="s">
        <v>769</v>
      </c>
      <c r="N274">
        <v>5</v>
      </c>
      <c r="O274" s="2">
        <v>46143</v>
      </c>
    </row>
    <row r="275" spans="1:15" x14ac:dyDescent="0.3">
      <c r="A275" t="s">
        <v>206</v>
      </c>
      <c r="B275" s="2">
        <v>46182</v>
      </c>
      <c r="C275" t="s">
        <v>99</v>
      </c>
      <c r="D275" t="s">
        <v>40</v>
      </c>
      <c r="E275" t="s">
        <v>65</v>
      </c>
      <c r="F275" t="s">
        <v>106</v>
      </c>
      <c r="G275">
        <v>4</v>
      </c>
      <c r="H275">
        <v>750</v>
      </c>
      <c r="I275">
        <v>20</v>
      </c>
      <c r="J275" t="s">
        <v>764</v>
      </c>
      <c r="K275" t="s">
        <v>36</v>
      </c>
      <c r="L275">
        <v>2400</v>
      </c>
      <c r="M275" t="s">
        <v>770</v>
      </c>
      <c r="N275">
        <v>6</v>
      </c>
      <c r="O275" s="2">
        <v>46174</v>
      </c>
    </row>
    <row r="276" spans="1:15" x14ac:dyDescent="0.3">
      <c r="A276" t="s">
        <v>185</v>
      </c>
      <c r="B276" s="2">
        <v>46072</v>
      </c>
      <c r="C276" t="s">
        <v>133</v>
      </c>
      <c r="D276" t="s">
        <v>72</v>
      </c>
      <c r="E276" t="s">
        <v>65</v>
      </c>
      <c r="F276" t="s">
        <v>92</v>
      </c>
      <c r="G276">
        <v>4</v>
      </c>
      <c r="H276">
        <v>700</v>
      </c>
      <c r="I276">
        <v>15</v>
      </c>
      <c r="J276" t="s">
        <v>55</v>
      </c>
      <c r="K276" t="s">
        <v>22</v>
      </c>
      <c r="L276">
        <v>2380</v>
      </c>
      <c r="M276" t="s">
        <v>765</v>
      </c>
      <c r="N276">
        <v>2</v>
      </c>
      <c r="O276" s="2">
        <v>46054</v>
      </c>
    </row>
    <row r="277" spans="1:15" x14ac:dyDescent="0.3">
      <c r="A277" t="s">
        <v>592</v>
      </c>
      <c r="B277" s="2">
        <v>46096</v>
      </c>
      <c r="C277" t="s">
        <v>249</v>
      </c>
      <c r="D277" t="s">
        <v>72</v>
      </c>
      <c r="E277" t="s">
        <v>65</v>
      </c>
      <c r="F277" t="s">
        <v>92</v>
      </c>
      <c r="G277">
        <v>4</v>
      </c>
      <c r="H277">
        <v>700</v>
      </c>
      <c r="I277">
        <v>15</v>
      </c>
      <c r="J277" t="s">
        <v>764</v>
      </c>
      <c r="K277" t="s">
        <v>22</v>
      </c>
      <c r="L277">
        <v>2380</v>
      </c>
      <c r="M277" t="s">
        <v>767</v>
      </c>
      <c r="N277">
        <v>3</v>
      </c>
      <c r="O277" s="2">
        <v>46082</v>
      </c>
    </row>
    <row r="278" spans="1:15" x14ac:dyDescent="0.3">
      <c r="A278" t="s">
        <v>548</v>
      </c>
      <c r="B278" s="2">
        <v>46146</v>
      </c>
      <c r="C278" t="s">
        <v>54</v>
      </c>
      <c r="D278" t="s">
        <v>72</v>
      </c>
      <c r="E278" t="s">
        <v>49</v>
      </c>
      <c r="F278" t="s">
        <v>351</v>
      </c>
      <c r="G278">
        <v>1</v>
      </c>
      <c r="H278">
        <v>2800</v>
      </c>
      <c r="I278">
        <v>15</v>
      </c>
      <c r="J278" t="s">
        <v>29</v>
      </c>
      <c r="K278" t="s">
        <v>30</v>
      </c>
      <c r="L278">
        <v>2380</v>
      </c>
      <c r="M278" t="s">
        <v>769</v>
      </c>
      <c r="N278">
        <v>5</v>
      </c>
      <c r="O278" s="2">
        <v>46143</v>
      </c>
    </row>
    <row r="279" spans="1:15" x14ac:dyDescent="0.3">
      <c r="A279" t="s">
        <v>288</v>
      </c>
      <c r="B279" s="2">
        <v>46048</v>
      </c>
      <c r="C279" t="s">
        <v>166</v>
      </c>
      <c r="D279" t="s">
        <v>72</v>
      </c>
      <c r="E279" t="s">
        <v>15</v>
      </c>
      <c r="F279" t="s">
        <v>146</v>
      </c>
      <c r="G279">
        <v>1</v>
      </c>
      <c r="H279">
        <v>2500</v>
      </c>
      <c r="I279">
        <v>5</v>
      </c>
      <c r="J279" t="s">
        <v>29</v>
      </c>
      <c r="K279" t="s">
        <v>22</v>
      </c>
      <c r="L279">
        <v>2375</v>
      </c>
      <c r="M279" t="s">
        <v>763</v>
      </c>
      <c r="N279">
        <v>1</v>
      </c>
      <c r="O279" s="2">
        <v>46023</v>
      </c>
    </row>
    <row r="280" spans="1:15" x14ac:dyDescent="0.3">
      <c r="A280" t="s">
        <v>511</v>
      </c>
      <c r="B280" s="2">
        <v>46058</v>
      </c>
      <c r="C280" t="s">
        <v>44</v>
      </c>
      <c r="D280" t="s">
        <v>14</v>
      </c>
      <c r="E280" t="s">
        <v>15</v>
      </c>
      <c r="F280" t="s">
        <v>146</v>
      </c>
      <c r="G280">
        <v>1</v>
      </c>
      <c r="H280">
        <v>2500</v>
      </c>
      <c r="I280">
        <v>5</v>
      </c>
      <c r="J280" t="s">
        <v>764</v>
      </c>
      <c r="K280" t="s">
        <v>22</v>
      </c>
      <c r="L280">
        <v>2375</v>
      </c>
      <c r="M280" t="s">
        <v>765</v>
      </c>
      <c r="N280">
        <v>2</v>
      </c>
      <c r="O280" s="2">
        <v>46054</v>
      </c>
    </row>
    <row r="281" spans="1:15" x14ac:dyDescent="0.3">
      <c r="A281" t="s">
        <v>459</v>
      </c>
      <c r="B281" s="2">
        <v>46107</v>
      </c>
      <c r="C281" t="s">
        <v>133</v>
      </c>
      <c r="D281" t="s">
        <v>72</v>
      </c>
      <c r="E281" t="s">
        <v>15</v>
      </c>
      <c r="F281" t="s">
        <v>146</v>
      </c>
      <c r="G281">
        <v>1</v>
      </c>
      <c r="H281">
        <v>2500</v>
      </c>
      <c r="I281">
        <v>5</v>
      </c>
      <c r="J281" t="s">
        <v>764</v>
      </c>
      <c r="K281" t="s">
        <v>22</v>
      </c>
      <c r="L281">
        <v>2375</v>
      </c>
      <c r="M281" t="s">
        <v>767</v>
      </c>
      <c r="N281">
        <v>3</v>
      </c>
      <c r="O281" s="2">
        <v>46082</v>
      </c>
    </row>
    <row r="282" spans="1:15" x14ac:dyDescent="0.3">
      <c r="A282" t="s">
        <v>410</v>
      </c>
      <c r="B282" s="2">
        <v>46116</v>
      </c>
      <c r="C282" t="s">
        <v>166</v>
      </c>
      <c r="D282" t="s">
        <v>14</v>
      </c>
      <c r="E282" t="s">
        <v>15</v>
      </c>
      <c r="F282" t="s">
        <v>146</v>
      </c>
      <c r="G282">
        <v>1</v>
      </c>
      <c r="H282">
        <v>2500</v>
      </c>
      <c r="I282">
        <v>5</v>
      </c>
      <c r="J282" t="s">
        <v>29</v>
      </c>
      <c r="K282" t="s">
        <v>36</v>
      </c>
      <c r="L282">
        <v>2375</v>
      </c>
      <c r="M282" t="s">
        <v>768</v>
      </c>
      <c r="N282">
        <v>4</v>
      </c>
      <c r="O282" s="2">
        <v>46113</v>
      </c>
    </row>
    <row r="283" spans="1:15" x14ac:dyDescent="0.3">
      <c r="A283" t="s">
        <v>727</v>
      </c>
      <c r="B283" s="2">
        <v>46153</v>
      </c>
      <c r="C283" t="s">
        <v>33</v>
      </c>
      <c r="D283" t="s">
        <v>14</v>
      </c>
      <c r="E283" t="s">
        <v>27</v>
      </c>
      <c r="F283" t="s">
        <v>28</v>
      </c>
      <c r="G283">
        <v>5</v>
      </c>
      <c r="H283">
        <v>500</v>
      </c>
      <c r="I283">
        <v>5</v>
      </c>
      <c r="J283" t="s">
        <v>55</v>
      </c>
      <c r="K283" t="s">
        <v>36</v>
      </c>
      <c r="L283">
        <v>2375</v>
      </c>
      <c r="M283" t="s">
        <v>769</v>
      </c>
      <c r="N283">
        <v>5</v>
      </c>
      <c r="O283" s="2">
        <v>46143</v>
      </c>
    </row>
    <row r="284" spans="1:15" x14ac:dyDescent="0.3">
      <c r="A284" t="s">
        <v>294</v>
      </c>
      <c r="B284" s="2">
        <v>46037</v>
      </c>
      <c r="C284" t="s">
        <v>122</v>
      </c>
      <c r="D284" t="s">
        <v>26</v>
      </c>
      <c r="E284" t="s">
        <v>15</v>
      </c>
      <c r="F284" t="s">
        <v>78</v>
      </c>
      <c r="G284">
        <v>3</v>
      </c>
      <c r="H284">
        <v>900</v>
      </c>
      <c r="I284">
        <v>15</v>
      </c>
      <c r="J284" t="s">
        <v>55</v>
      </c>
      <c r="K284" t="s">
        <v>22</v>
      </c>
      <c r="L284">
        <v>2295</v>
      </c>
      <c r="M284" t="s">
        <v>763</v>
      </c>
      <c r="N284">
        <v>1</v>
      </c>
      <c r="O284" s="2">
        <v>46023</v>
      </c>
    </row>
    <row r="285" spans="1:15" x14ac:dyDescent="0.3">
      <c r="A285" t="s">
        <v>210</v>
      </c>
      <c r="B285" s="2">
        <v>46109</v>
      </c>
      <c r="C285" t="s">
        <v>33</v>
      </c>
      <c r="D285" t="s">
        <v>72</v>
      </c>
      <c r="E285" t="s">
        <v>65</v>
      </c>
      <c r="F285" t="s">
        <v>96</v>
      </c>
      <c r="G285">
        <v>3</v>
      </c>
      <c r="H285">
        <v>900</v>
      </c>
      <c r="I285">
        <v>15</v>
      </c>
      <c r="J285" t="s">
        <v>51</v>
      </c>
      <c r="K285" t="s">
        <v>36</v>
      </c>
      <c r="L285">
        <v>2295</v>
      </c>
      <c r="M285" t="s">
        <v>767</v>
      </c>
      <c r="N285">
        <v>3</v>
      </c>
      <c r="O285" s="2">
        <v>46082</v>
      </c>
    </row>
    <row r="286" spans="1:15" x14ac:dyDescent="0.3">
      <c r="A286" t="s">
        <v>505</v>
      </c>
      <c r="B286" s="2">
        <v>46159</v>
      </c>
      <c r="C286" t="s">
        <v>249</v>
      </c>
      <c r="D286" t="s">
        <v>26</v>
      </c>
      <c r="E286" t="s">
        <v>65</v>
      </c>
      <c r="F286" t="s">
        <v>66</v>
      </c>
      <c r="G286">
        <v>3</v>
      </c>
      <c r="H286">
        <v>850</v>
      </c>
      <c r="I286">
        <v>10</v>
      </c>
      <c r="J286" t="s">
        <v>51</v>
      </c>
      <c r="K286" t="s">
        <v>18</v>
      </c>
      <c r="L286">
        <v>2295</v>
      </c>
      <c r="M286" t="s">
        <v>769</v>
      </c>
      <c r="N286">
        <v>5</v>
      </c>
      <c r="O286" s="2">
        <v>46143</v>
      </c>
    </row>
    <row r="287" spans="1:15" x14ac:dyDescent="0.3">
      <c r="A287" t="s">
        <v>461</v>
      </c>
      <c r="B287" s="2">
        <v>46145</v>
      </c>
      <c r="C287" t="s">
        <v>249</v>
      </c>
      <c r="D287" t="s">
        <v>14</v>
      </c>
      <c r="E287" t="s">
        <v>65</v>
      </c>
      <c r="F287" t="s">
        <v>66</v>
      </c>
      <c r="G287">
        <v>3</v>
      </c>
      <c r="H287">
        <v>850</v>
      </c>
      <c r="I287">
        <v>10</v>
      </c>
      <c r="J287" t="s">
        <v>51</v>
      </c>
      <c r="K287" t="s">
        <v>36</v>
      </c>
      <c r="L287">
        <v>2295</v>
      </c>
      <c r="M287" t="s">
        <v>769</v>
      </c>
      <c r="N287">
        <v>5</v>
      </c>
      <c r="O287" s="2">
        <v>46143</v>
      </c>
    </row>
    <row r="288" spans="1:15" x14ac:dyDescent="0.3">
      <c r="A288" t="s">
        <v>467</v>
      </c>
      <c r="B288" s="2">
        <v>46107</v>
      </c>
      <c r="C288" t="s">
        <v>71</v>
      </c>
      <c r="D288" t="s">
        <v>72</v>
      </c>
      <c r="E288" t="s">
        <v>49</v>
      </c>
      <c r="F288" t="s">
        <v>182</v>
      </c>
      <c r="G288">
        <v>3</v>
      </c>
      <c r="H288">
        <v>800</v>
      </c>
      <c r="I288">
        <v>5</v>
      </c>
      <c r="J288" t="s">
        <v>764</v>
      </c>
      <c r="K288" t="s">
        <v>30</v>
      </c>
      <c r="L288">
        <v>2280</v>
      </c>
      <c r="M288" t="s">
        <v>767</v>
      </c>
      <c r="N288">
        <v>3</v>
      </c>
      <c r="O288" s="2">
        <v>46082</v>
      </c>
    </row>
    <row r="289" spans="1:15" x14ac:dyDescent="0.3">
      <c r="A289" t="s">
        <v>568</v>
      </c>
      <c r="B289" s="2">
        <v>46135</v>
      </c>
      <c r="C289" t="s">
        <v>48</v>
      </c>
      <c r="D289" t="s">
        <v>40</v>
      </c>
      <c r="E289" t="s">
        <v>34</v>
      </c>
      <c r="F289" t="s">
        <v>100</v>
      </c>
      <c r="G289">
        <v>2</v>
      </c>
      <c r="H289">
        <v>1200</v>
      </c>
      <c r="I289">
        <v>5</v>
      </c>
      <c r="J289" t="s">
        <v>51</v>
      </c>
      <c r="K289" t="s">
        <v>18</v>
      </c>
      <c r="L289">
        <v>2280</v>
      </c>
      <c r="M289" t="s">
        <v>768</v>
      </c>
      <c r="N289">
        <v>4</v>
      </c>
      <c r="O289" s="2">
        <v>46113</v>
      </c>
    </row>
    <row r="290" spans="1:15" x14ac:dyDescent="0.3">
      <c r="A290" t="s">
        <v>734</v>
      </c>
      <c r="B290" s="2">
        <v>46194</v>
      </c>
      <c r="C290" t="s">
        <v>117</v>
      </c>
      <c r="D290" t="s">
        <v>14</v>
      </c>
      <c r="E290" t="s">
        <v>49</v>
      </c>
      <c r="F290" t="s">
        <v>182</v>
      </c>
      <c r="G290">
        <v>3</v>
      </c>
      <c r="H290">
        <v>800</v>
      </c>
      <c r="I290">
        <v>5</v>
      </c>
      <c r="J290" t="s">
        <v>51</v>
      </c>
      <c r="K290" t="s">
        <v>30</v>
      </c>
      <c r="L290">
        <v>2280</v>
      </c>
      <c r="M290" t="s">
        <v>770</v>
      </c>
      <c r="N290">
        <v>6</v>
      </c>
      <c r="O290" s="2">
        <v>46174</v>
      </c>
    </row>
    <row r="291" spans="1:15" x14ac:dyDescent="0.3">
      <c r="A291" t="s">
        <v>609</v>
      </c>
      <c r="B291" s="2">
        <v>46029</v>
      </c>
      <c r="C291" t="s">
        <v>13</v>
      </c>
      <c r="D291" t="s">
        <v>26</v>
      </c>
      <c r="E291" t="s">
        <v>15</v>
      </c>
      <c r="F291" t="s">
        <v>146</v>
      </c>
      <c r="G291">
        <v>1</v>
      </c>
      <c r="H291">
        <v>2500</v>
      </c>
      <c r="I291">
        <v>10</v>
      </c>
      <c r="J291" t="s">
        <v>764</v>
      </c>
      <c r="K291" t="s">
        <v>18</v>
      </c>
      <c r="L291">
        <v>2250</v>
      </c>
      <c r="M291" t="s">
        <v>763</v>
      </c>
      <c r="N291">
        <v>1</v>
      </c>
      <c r="O291" s="2">
        <v>46023</v>
      </c>
    </row>
    <row r="292" spans="1:15" x14ac:dyDescent="0.3">
      <c r="A292" t="s">
        <v>666</v>
      </c>
      <c r="B292" s="2">
        <v>46091</v>
      </c>
      <c r="C292" t="s">
        <v>95</v>
      </c>
      <c r="D292" t="s">
        <v>26</v>
      </c>
      <c r="E292" t="s">
        <v>15</v>
      </c>
      <c r="F292" t="s">
        <v>146</v>
      </c>
      <c r="G292">
        <v>1</v>
      </c>
      <c r="H292">
        <v>2500</v>
      </c>
      <c r="I292">
        <v>10</v>
      </c>
      <c r="J292" t="s">
        <v>51</v>
      </c>
      <c r="K292" t="s">
        <v>30</v>
      </c>
      <c r="L292">
        <v>2250</v>
      </c>
      <c r="M292" t="s">
        <v>767</v>
      </c>
      <c r="N292">
        <v>3</v>
      </c>
      <c r="O292" s="2">
        <v>46082</v>
      </c>
    </row>
    <row r="293" spans="1:15" x14ac:dyDescent="0.3">
      <c r="A293" t="s">
        <v>566</v>
      </c>
      <c r="B293" s="2">
        <v>46091</v>
      </c>
      <c r="C293" t="s">
        <v>33</v>
      </c>
      <c r="D293" t="s">
        <v>26</v>
      </c>
      <c r="E293" t="s">
        <v>27</v>
      </c>
      <c r="F293" t="s">
        <v>89</v>
      </c>
      <c r="G293">
        <v>5</v>
      </c>
      <c r="H293">
        <v>450</v>
      </c>
      <c r="I293">
        <v>0</v>
      </c>
      <c r="J293" t="s">
        <v>29</v>
      </c>
      <c r="K293" t="s">
        <v>22</v>
      </c>
      <c r="L293">
        <v>2250</v>
      </c>
      <c r="M293" t="s">
        <v>767</v>
      </c>
      <c r="N293">
        <v>3</v>
      </c>
      <c r="O293" s="2">
        <v>46082</v>
      </c>
    </row>
    <row r="294" spans="1:15" x14ac:dyDescent="0.3">
      <c r="A294" t="s">
        <v>758</v>
      </c>
      <c r="B294" s="2">
        <v>46097</v>
      </c>
      <c r="C294" t="s">
        <v>159</v>
      </c>
      <c r="D294" t="s">
        <v>26</v>
      </c>
      <c r="E294" t="s">
        <v>27</v>
      </c>
      <c r="F294" t="s">
        <v>89</v>
      </c>
      <c r="G294">
        <v>5</v>
      </c>
      <c r="H294">
        <v>450</v>
      </c>
      <c r="I294">
        <v>0</v>
      </c>
      <c r="J294" t="s">
        <v>51</v>
      </c>
      <c r="K294" t="s">
        <v>18</v>
      </c>
      <c r="L294">
        <v>2250</v>
      </c>
      <c r="M294" t="s">
        <v>767</v>
      </c>
      <c r="N294">
        <v>3</v>
      </c>
      <c r="O294" s="2">
        <v>46082</v>
      </c>
    </row>
    <row r="295" spans="1:15" x14ac:dyDescent="0.3">
      <c r="A295" t="s">
        <v>289</v>
      </c>
      <c r="B295" s="2">
        <v>46090</v>
      </c>
      <c r="C295" t="s">
        <v>179</v>
      </c>
      <c r="D295" t="s">
        <v>72</v>
      </c>
      <c r="E295" t="s">
        <v>15</v>
      </c>
      <c r="F295" t="s">
        <v>146</v>
      </c>
      <c r="G295">
        <v>1</v>
      </c>
      <c r="H295">
        <v>2500</v>
      </c>
      <c r="I295">
        <v>10</v>
      </c>
      <c r="J295" t="s">
        <v>29</v>
      </c>
      <c r="K295" t="s">
        <v>30</v>
      </c>
      <c r="L295">
        <v>2250</v>
      </c>
      <c r="M295" t="s">
        <v>767</v>
      </c>
      <c r="N295">
        <v>3</v>
      </c>
      <c r="O295" s="2">
        <v>46082</v>
      </c>
    </row>
    <row r="296" spans="1:15" x14ac:dyDescent="0.3">
      <c r="A296" t="s">
        <v>339</v>
      </c>
      <c r="B296" s="2">
        <v>46113</v>
      </c>
      <c r="C296" t="s">
        <v>48</v>
      </c>
      <c r="D296" t="s">
        <v>72</v>
      </c>
      <c r="E296" t="s">
        <v>15</v>
      </c>
      <c r="F296" t="s">
        <v>146</v>
      </c>
      <c r="G296">
        <v>1</v>
      </c>
      <c r="H296">
        <v>2500</v>
      </c>
      <c r="I296">
        <v>10</v>
      </c>
      <c r="J296" t="s">
        <v>51</v>
      </c>
      <c r="K296" t="s">
        <v>30</v>
      </c>
      <c r="L296">
        <v>2250</v>
      </c>
      <c r="M296" t="s">
        <v>768</v>
      </c>
      <c r="N296">
        <v>4</v>
      </c>
      <c r="O296" s="2">
        <v>46113</v>
      </c>
    </row>
    <row r="297" spans="1:15" x14ac:dyDescent="0.3">
      <c r="A297" t="s">
        <v>640</v>
      </c>
      <c r="B297" s="2">
        <v>46168</v>
      </c>
      <c r="C297" t="s">
        <v>117</v>
      </c>
      <c r="D297" t="s">
        <v>14</v>
      </c>
      <c r="E297" t="s">
        <v>27</v>
      </c>
      <c r="F297" t="s">
        <v>28</v>
      </c>
      <c r="G297">
        <v>5</v>
      </c>
      <c r="H297">
        <v>500</v>
      </c>
      <c r="I297">
        <v>10</v>
      </c>
      <c r="J297" t="s">
        <v>55</v>
      </c>
      <c r="K297" t="s">
        <v>36</v>
      </c>
      <c r="L297">
        <v>2250</v>
      </c>
      <c r="M297" t="s">
        <v>769</v>
      </c>
      <c r="N297">
        <v>5</v>
      </c>
      <c r="O297" s="2">
        <v>46143</v>
      </c>
    </row>
    <row r="298" spans="1:15" x14ac:dyDescent="0.3">
      <c r="A298" t="s">
        <v>661</v>
      </c>
      <c r="B298" s="2">
        <v>46183</v>
      </c>
      <c r="C298" t="s">
        <v>105</v>
      </c>
      <c r="D298" t="s">
        <v>26</v>
      </c>
      <c r="E298" t="s">
        <v>65</v>
      </c>
      <c r="F298" t="s">
        <v>106</v>
      </c>
      <c r="G298">
        <v>3</v>
      </c>
      <c r="H298">
        <v>750</v>
      </c>
      <c r="I298">
        <v>0</v>
      </c>
      <c r="J298" t="s">
        <v>764</v>
      </c>
      <c r="K298" t="s">
        <v>18</v>
      </c>
      <c r="L298">
        <v>2250</v>
      </c>
      <c r="M298" t="s">
        <v>770</v>
      </c>
      <c r="N298">
        <v>6</v>
      </c>
      <c r="O298" s="2">
        <v>46174</v>
      </c>
    </row>
    <row r="299" spans="1:15" x14ac:dyDescent="0.3">
      <c r="A299" t="s">
        <v>368</v>
      </c>
      <c r="B299" s="2">
        <v>46164</v>
      </c>
      <c r="C299" t="s">
        <v>159</v>
      </c>
      <c r="D299" t="s">
        <v>40</v>
      </c>
      <c r="E299" t="s">
        <v>65</v>
      </c>
      <c r="F299" t="s">
        <v>92</v>
      </c>
      <c r="G299">
        <v>4</v>
      </c>
      <c r="H299">
        <v>700</v>
      </c>
      <c r="I299">
        <v>20</v>
      </c>
      <c r="J299" t="s">
        <v>55</v>
      </c>
      <c r="K299" t="s">
        <v>30</v>
      </c>
      <c r="L299">
        <v>2240</v>
      </c>
      <c r="M299" t="s">
        <v>769</v>
      </c>
      <c r="N299">
        <v>5</v>
      </c>
      <c r="O299" s="2">
        <v>46143</v>
      </c>
    </row>
    <row r="300" spans="1:15" x14ac:dyDescent="0.3">
      <c r="A300" t="s">
        <v>749</v>
      </c>
      <c r="B300" s="2">
        <v>46029</v>
      </c>
      <c r="C300" t="s">
        <v>84</v>
      </c>
      <c r="D300" t="s">
        <v>26</v>
      </c>
      <c r="E300" t="s">
        <v>27</v>
      </c>
      <c r="F300" t="s">
        <v>171</v>
      </c>
      <c r="G300">
        <v>5</v>
      </c>
      <c r="H300">
        <v>550</v>
      </c>
      <c r="I300">
        <v>20</v>
      </c>
      <c r="J300" t="s">
        <v>29</v>
      </c>
      <c r="K300" t="s">
        <v>18</v>
      </c>
      <c r="L300">
        <v>2200</v>
      </c>
      <c r="M300" t="s">
        <v>763</v>
      </c>
      <c r="N300">
        <v>1</v>
      </c>
      <c r="O300" s="2">
        <v>46023</v>
      </c>
    </row>
    <row r="301" spans="1:15" x14ac:dyDescent="0.3">
      <c r="A301" t="s">
        <v>687</v>
      </c>
      <c r="B301" s="2">
        <v>46141</v>
      </c>
      <c r="C301" t="s">
        <v>48</v>
      </c>
      <c r="D301" t="s">
        <v>40</v>
      </c>
      <c r="E301" t="s">
        <v>27</v>
      </c>
      <c r="F301" t="s">
        <v>171</v>
      </c>
      <c r="G301">
        <v>4</v>
      </c>
      <c r="H301">
        <v>550</v>
      </c>
      <c r="I301">
        <v>0</v>
      </c>
      <c r="J301" t="s">
        <v>764</v>
      </c>
      <c r="K301" t="s">
        <v>18</v>
      </c>
      <c r="L301">
        <v>2200</v>
      </c>
      <c r="M301" t="s">
        <v>768</v>
      </c>
      <c r="N301">
        <v>4</v>
      </c>
      <c r="O301" s="2">
        <v>46113</v>
      </c>
    </row>
    <row r="302" spans="1:15" x14ac:dyDescent="0.3">
      <c r="A302" t="s">
        <v>257</v>
      </c>
      <c r="B302" s="2">
        <v>46041</v>
      </c>
      <c r="C302" t="s">
        <v>154</v>
      </c>
      <c r="D302" t="s">
        <v>14</v>
      </c>
      <c r="E302" t="s">
        <v>34</v>
      </c>
      <c r="F302" t="s">
        <v>62</v>
      </c>
      <c r="G302">
        <v>3</v>
      </c>
      <c r="H302">
        <v>900</v>
      </c>
      <c r="I302">
        <v>20</v>
      </c>
      <c r="J302" t="s">
        <v>55</v>
      </c>
      <c r="K302" t="s">
        <v>18</v>
      </c>
      <c r="L302">
        <v>2160</v>
      </c>
      <c r="M302" t="s">
        <v>763</v>
      </c>
      <c r="N302">
        <v>1</v>
      </c>
      <c r="O302" s="2">
        <v>46023</v>
      </c>
    </row>
    <row r="303" spans="1:15" x14ac:dyDescent="0.3">
      <c r="A303" t="s">
        <v>755</v>
      </c>
      <c r="B303" s="2">
        <v>46045</v>
      </c>
      <c r="C303" t="s">
        <v>61</v>
      </c>
      <c r="D303" t="s">
        <v>40</v>
      </c>
      <c r="E303" t="s">
        <v>34</v>
      </c>
      <c r="F303" t="s">
        <v>100</v>
      </c>
      <c r="G303">
        <v>2</v>
      </c>
      <c r="H303">
        <v>1200</v>
      </c>
      <c r="I303">
        <v>10</v>
      </c>
      <c r="J303" t="s">
        <v>764</v>
      </c>
      <c r="K303" t="s">
        <v>22</v>
      </c>
      <c r="L303">
        <v>2160</v>
      </c>
      <c r="M303" t="s">
        <v>763</v>
      </c>
      <c r="N303">
        <v>1</v>
      </c>
      <c r="O303" s="2">
        <v>46023</v>
      </c>
    </row>
    <row r="304" spans="1:15" x14ac:dyDescent="0.3">
      <c r="A304" t="s">
        <v>741</v>
      </c>
      <c r="B304" s="2">
        <v>46062</v>
      </c>
      <c r="C304" t="s">
        <v>117</v>
      </c>
      <c r="D304" t="s">
        <v>14</v>
      </c>
      <c r="E304" t="s">
        <v>34</v>
      </c>
      <c r="F304" t="s">
        <v>62</v>
      </c>
      <c r="G304">
        <v>3</v>
      </c>
      <c r="H304">
        <v>900</v>
      </c>
      <c r="I304">
        <v>20</v>
      </c>
      <c r="J304" t="s">
        <v>764</v>
      </c>
      <c r="K304" t="s">
        <v>30</v>
      </c>
      <c r="L304">
        <v>2160</v>
      </c>
      <c r="M304" t="s">
        <v>765</v>
      </c>
      <c r="N304">
        <v>2</v>
      </c>
      <c r="O304" s="2">
        <v>46054</v>
      </c>
    </row>
    <row r="305" spans="1:15" x14ac:dyDescent="0.3">
      <c r="A305" t="s">
        <v>236</v>
      </c>
      <c r="B305" s="2">
        <v>46079</v>
      </c>
      <c r="C305" t="s">
        <v>176</v>
      </c>
      <c r="D305" t="s">
        <v>14</v>
      </c>
      <c r="E305" t="s">
        <v>15</v>
      </c>
      <c r="F305" t="s">
        <v>78</v>
      </c>
      <c r="G305">
        <v>3</v>
      </c>
      <c r="H305">
        <v>900</v>
      </c>
      <c r="I305">
        <v>20</v>
      </c>
      <c r="J305" t="s">
        <v>51</v>
      </c>
      <c r="K305" t="s">
        <v>18</v>
      </c>
      <c r="L305">
        <v>2160</v>
      </c>
      <c r="M305" t="s">
        <v>765</v>
      </c>
      <c r="N305">
        <v>2</v>
      </c>
      <c r="O305" s="2">
        <v>46054</v>
      </c>
    </row>
    <row r="306" spans="1:15" x14ac:dyDescent="0.3">
      <c r="A306" t="s">
        <v>559</v>
      </c>
      <c r="B306" s="2">
        <v>46084</v>
      </c>
      <c r="C306" t="s">
        <v>122</v>
      </c>
      <c r="D306" t="s">
        <v>40</v>
      </c>
      <c r="E306" t="s">
        <v>34</v>
      </c>
      <c r="F306" t="s">
        <v>100</v>
      </c>
      <c r="G306">
        <v>2</v>
      </c>
      <c r="H306">
        <v>1200</v>
      </c>
      <c r="I306">
        <v>10</v>
      </c>
      <c r="J306" t="s">
        <v>55</v>
      </c>
      <c r="K306" t="s">
        <v>18</v>
      </c>
      <c r="L306">
        <v>2160</v>
      </c>
      <c r="M306" t="s">
        <v>767</v>
      </c>
      <c r="N306">
        <v>3</v>
      </c>
      <c r="O306" s="2">
        <v>46082</v>
      </c>
    </row>
    <row r="307" spans="1:15" x14ac:dyDescent="0.3">
      <c r="A307" t="s">
        <v>366</v>
      </c>
      <c r="B307" s="2">
        <v>46093</v>
      </c>
      <c r="C307" t="s">
        <v>125</v>
      </c>
      <c r="D307" t="s">
        <v>40</v>
      </c>
      <c r="E307" t="s">
        <v>65</v>
      </c>
      <c r="F307" t="s">
        <v>96</v>
      </c>
      <c r="G307">
        <v>3</v>
      </c>
      <c r="H307">
        <v>900</v>
      </c>
      <c r="I307">
        <v>20</v>
      </c>
      <c r="J307" t="s">
        <v>764</v>
      </c>
      <c r="K307" t="s">
        <v>30</v>
      </c>
      <c r="L307">
        <v>2160</v>
      </c>
      <c r="M307" t="s">
        <v>767</v>
      </c>
      <c r="N307">
        <v>3</v>
      </c>
      <c r="O307" s="2">
        <v>46082</v>
      </c>
    </row>
    <row r="308" spans="1:15" x14ac:dyDescent="0.3">
      <c r="A308" t="s">
        <v>716</v>
      </c>
      <c r="B308" s="2">
        <v>46148</v>
      </c>
      <c r="C308" t="s">
        <v>179</v>
      </c>
      <c r="D308" t="s">
        <v>14</v>
      </c>
      <c r="E308" t="s">
        <v>49</v>
      </c>
      <c r="F308" t="s">
        <v>182</v>
      </c>
      <c r="G308">
        <v>3</v>
      </c>
      <c r="H308">
        <v>800</v>
      </c>
      <c r="I308">
        <v>10</v>
      </c>
      <c r="J308" t="s">
        <v>764</v>
      </c>
      <c r="K308" t="s">
        <v>22</v>
      </c>
      <c r="L308">
        <v>2160</v>
      </c>
      <c r="M308" t="s">
        <v>769</v>
      </c>
      <c r="N308">
        <v>5</v>
      </c>
      <c r="O308" s="2">
        <v>46143</v>
      </c>
    </row>
    <row r="309" spans="1:15" x14ac:dyDescent="0.3">
      <c r="A309" t="s">
        <v>629</v>
      </c>
      <c r="B309" s="2">
        <v>46145</v>
      </c>
      <c r="C309" t="s">
        <v>99</v>
      </c>
      <c r="D309" t="s">
        <v>72</v>
      </c>
      <c r="E309" t="s">
        <v>65</v>
      </c>
      <c r="F309" t="s">
        <v>96</v>
      </c>
      <c r="G309">
        <v>3</v>
      </c>
      <c r="H309">
        <v>900</v>
      </c>
      <c r="I309">
        <v>20</v>
      </c>
      <c r="J309" t="s">
        <v>51</v>
      </c>
      <c r="K309" t="s">
        <v>18</v>
      </c>
      <c r="L309">
        <v>2160</v>
      </c>
      <c r="M309" t="s">
        <v>769</v>
      </c>
      <c r="N309">
        <v>5</v>
      </c>
      <c r="O309" s="2">
        <v>46143</v>
      </c>
    </row>
    <row r="310" spans="1:15" x14ac:dyDescent="0.3">
      <c r="A310" t="s">
        <v>654</v>
      </c>
      <c r="B310" s="2">
        <v>46187</v>
      </c>
      <c r="C310" t="s">
        <v>99</v>
      </c>
      <c r="D310" t="s">
        <v>72</v>
      </c>
      <c r="E310" t="s">
        <v>34</v>
      </c>
      <c r="F310" t="s">
        <v>100</v>
      </c>
      <c r="G310">
        <v>2</v>
      </c>
      <c r="H310">
        <v>1200</v>
      </c>
      <c r="I310">
        <v>10</v>
      </c>
      <c r="J310" t="s">
        <v>766</v>
      </c>
      <c r="K310" t="s">
        <v>30</v>
      </c>
      <c r="L310">
        <v>2160</v>
      </c>
      <c r="M310" t="s">
        <v>770</v>
      </c>
      <c r="N310">
        <v>6</v>
      </c>
      <c r="O310" s="2">
        <v>46174</v>
      </c>
    </row>
    <row r="311" spans="1:15" x14ac:dyDescent="0.3">
      <c r="A311" t="s">
        <v>67</v>
      </c>
      <c r="B311" s="2">
        <v>46115</v>
      </c>
      <c r="C311" t="s">
        <v>13</v>
      </c>
      <c r="D311" t="s">
        <v>14</v>
      </c>
      <c r="E311" t="s">
        <v>27</v>
      </c>
      <c r="F311" t="s">
        <v>28</v>
      </c>
      <c r="G311">
        <v>5</v>
      </c>
      <c r="H311">
        <v>500</v>
      </c>
      <c r="I311">
        <v>15</v>
      </c>
      <c r="J311" t="s">
        <v>764</v>
      </c>
      <c r="K311" t="s">
        <v>36</v>
      </c>
      <c r="L311">
        <v>2125</v>
      </c>
      <c r="M311" t="s">
        <v>768</v>
      </c>
      <c r="N311">
        <v>4</v>
      </c>
      <c r="O311" s="2">
        <v>46113</v>
      </c>
    </row>
    <row r="312" spans="1:15" x14ac:dyDescent="0.3">
      <c r="A312" t="s">
        <v>662</v>
      </c>
      <c r="B312" s="2">
        <v>46164</v>
      </c>
      <c r="C312" t="s">
        <v>179</v>
      </c>
      <c r="D312" t="s">
        <v>26</v>
      </c>
      <c r="E312" t="s">
        <v>27</v>
      </c>
      <c r="F312" t="s">
        <v>28</v>
      </c>
      <c r="G312">
        <v>5</v>
      </c>
      <c r="H312">
        <v>500</v>
      </c>
      <c r="I312">
        <v>15</v>
      </c>
      <c r="J312" t="s">
        <v>764</v>
      </c>
      <c r="K312" t="s">
        <v>18</v>
      </c>
      <c r="L312">
        <v>2125</v>
      </c>
      <c r="M312" t="s">
        <v>769</v>
      </c>
      <c r="N312">
        <v>5</v>
      </c>
      <c r="O312" s="2">
        <v>46143</v>
      </c>
    </row>
    <row r="313" spans="1:15" x14ac:dyDescent="0.3">
      <c r="A313" t="s">
        <v>602</v>
      </c>
      <c r="B313" s="2">
        <v>46065</v>
      </c>
      <c r="C313" t="s">
        <v>54</v>
      </c>
      <c r="D313" t="s">
        <v>14</v>
      </c>
      <c r="E313" t="s">
        <v>65</v>
      </c>
      <c r="F313" t="s">
        <v>92</v>
      </c>
      <c r="G313">
        <v>3</v>
      </c>
      <c r="H313">
        <v>700</v>
      </c>
      <c r="I313">
        <v>0</v>
      </c>
      <c r="J313" t="s">
        <v>764</v>
      </c>
      <c r="K313" t="s">
        <v>22</v>
      </c>
      <c r="L313">
        <v>2100</v>
      </c>
      <c r="M313" t="s">
        <v>765</v>
      </c>
      <c r="N313">
        <v>2</v>
      </c>
      <c r="O313" s="2">
        <v>46054</v>
      </c>
    </row>
    <row r="314" spans="1:15" x14ac:dyDescent="0.3">
      <c r="A314" t="s">
        <v>352</v>
      </c>
      <c r="B314" s="2">
        <v>46124</v>
      </c>
      <c r="C314" t="s">
        <v>215</v>
      </c>
      <c r="D314" t="s">
        <v>40</v>
      </c>
      <c r="E314" t="s">
        <v>15</v>
      </c>
      <c r="F314" t="s">
        <v>73</v>
      </c>
      <c r="G314">
        <v>1</v>
      </c>
      <c r="H314">
        <v>2200</v>
      </c>
      <c r="I314">
        <v>5</v>
      </c>
      <c r="J314" t="s">
        <v>51</v>
      </c>
      <c r="K314" t="s">
        <v>22</v>
      </c>
      <c r="L314">
        <v>2090</v>
      </c>
      <c r="M314" t="s">
        <v>768</v>
      </c>
      <c r="N314">
        <v>4</v>
      </c>
      <c r="O314" s="2">
        <v>46113</v>
      </c>
    </row>
    <row r="315" spans="1:15" x14ac:dyDescent="0.3">
      <c r="A315" t="s">
        <v>448</v>
      </c>
      <c r="B315" s="2">
        <v>46117</v>
      </c>
      <c r="C315" t="s">
        <v>179</v>
      </c>
      <c r="D315" t="s">
        <v>40</v>
      </c>
      <c r="E315" t="s">
        <v>65</v>
      </c>
      <c r="F315" t="s">
        <v>85</v>
      </c>
      <c r="G315">
        <v>4</v>
      </c>
      <c r="H315">
        <v>650</v>
      </c>
      <c r="I315">
        <v>20</v>
      </c>
      <c r="J315" t="s">
        <v>51</v>
      </c>
      <c r="K315" t="s">
        <v>36</v>
      </c>
      <c r="L315">
        <v>2080</v>
      </c>
      <c r="M315" t="s">
        <v>768</v>
      </c>
      <c r="N315">
        <v>4</v>
      </c>
      <c r="O315" s="2">
        <v>46113</v>
      </c>
    </row>
    <row r="316" spans="1:15" x14ac:dyDescent="0.3">
      <c r="A316" t="s">
        <v>565</v>
      </c>
      <c r="B316" s="2">
        <v>46093</v>
      </c>
      <c r="C316" t="s">
        <v>13</v>
      </c>
      <c r="D316" t="s">
        <v>26</v>
      </c>
      <c r="E316" t="s">
        <v>34</v>
      </c>
      <c r="F316" t="s">
        <v>100</v>
      </c>
      <c r="G316">
        <v>2</v>
      </c>
      <c r="H316">
        <v>1200</v>
      </c>
      <c r="I316">
        <v>15</v>
      </c>
      <c r="J316" t="s">
        <v>29</v>
      </c>
      <c r="K316" t="s">
        <v>36</v>
      </c>
      <c r="L316">
        <v>2040</v>
      </c>
      <c r="M316" t="s">
        <v>767</v>
      </c>
      <c r="N316">
        <v>3</v>
      </c>
      <c r="O316" s="2">
        <v>46082</v>
      </c>
    </row>
    <row r="317" spans="1:15" x14ac:dyDescent="0.3">
      <c r="A317" t="s">
        <v>252</v>
      </c>
      <c r="B317" s="2">
        <v>46099</v>
      </c>
      <c r="C317" t="s">
        <v>48</v>
      </c>
      <c r="D317" t="s">
        <v>72</v>
      </c>
      <c r="E317" t="s">
        <v>65</v>
      </c>
      <c r="F317" t="s">
        <v>66</v>
      </c>
      <c r="G317">
        <v>3</v>
      </c>
      <c r="H317">
        <v>850</v>
      </c>
      <c r="I317">
        <v>20</v>
      </c>
      <c r="J317" t="s">
        <v>764</v>
      </c>
      <c r="K317" t="s">
        <v>36</v>
      </c>
      <c r="L317">
        <v>2040</v>
      </c>
      <c r="M317" t="s">
        <v>767</v>
      </c>
      <c r="N317">
        <v>3</v>
      </c>
      <c r="O317" s="2">
        <v>46082</v>
      </c>
    </row>
    <row r="318" spans="1:15" x14ac:dyDescent="0.3">
      <c r="A318" t="s">
        <v>411</v>
      </c>
      <c r="B318" s="2">
        <v>46083</v>
      </c>
      <c r="C318" t="s">
        <v>33</v>
      </c>
      <c r="D318" t="s">
        <v>26</v>
      </c>
      <c r="E318" t="s">
        <v>49</v>
      </c>
      <c r="F318" t="s">
        <v>182</v>
      </c>
      <c r="G318">
        <v>3</v>
      </c>
      <c r="H318">
        <v>800</v>
      </c>
      <c r="I318">
        <v>15</v>
      </c>
      <c r="J318" t="s">
        <v>764</v>
      </c>
      <c r="K318" t="s">
        <v>22</v>
      </c>
      <c r="L318">
        <v>2040</v>
      </c>
      <c r="M318" t="s">
        <v>767</v>
      </c>
      <c r="N318">
        <v>3</v>
      </c>
      <c r="O318" s="2">
        <v>46082</v>
      </c>
    </row>
    <row r="319" spans="1:15" x14ac:dyDescent="0.3">
      <c r="A319" t="s">
        <v>626</v>
      </c>
      <c r="B319" s="2">
        <v>46113</v>
      </c>
      <c r="C319" t="s">
        <v>21</v>
      </c>
      <c r="D319" t="s">
        <v>14</v>
      </c>
      <c r="E319" t="s">
        <v>65</v>
      </c>
      <c r="F319" t="s">
        <v>106</v>
      </c>
      <c r="G319">
        <v>3</v>
      </c>
      <c r="H319">
        <v>750</v>
      </c>
      <c r="I319">
        <v>10</v>
      </c>
      <c r="J319" t="s">
        <v>29</v>
      </c>
      <c r="K319" t="s">
        <v>22</v>
      </c>
      <c r="L319">
        <v>2025</v>
      </c>
      <c r="M319" t="s">
        <v>768</v>
      </c>
      <c r="N319">
        <v>4</v>
      </c>
      <c r="O319" s="2">
        <v>46113</v>
      </c>
    </row>
    <row r="320" spans="1:15" x14ac:dyDescent="0.3">
      <c r="A320" t="s">
        <v>576</v>
      </c>
      <c r="B320" s="2">
        <v>46149</v>
      </c>
      <c r="C320" t="s">
        <v>39</v>
      </c>
      <c r="D320" t="s">
        <v>26</v>
      </c>
      <c r="E320" t="s">
        <v>65</v>
      </c>
      <c r="F320" t="s">
        <v>106</v>
      </c>
      <c r="G320">
        <v>3</v>
      </c>
      <c r="H320">
        <v>750</v>
      </c>
      <c r="I320">
        <v>10</v>
      </c>
      <c r="J320" t="s">
        <v>55</v>
      </c>
      <c r="K320" t="s">
        <v>18</v>
      </c>
      <c r="L320">
        <v>2025</v>
      </c>
      <c r="M320" t="s">
        <v>769</v>
      </c>
      <c r="N320">
        <v>5</v>
      </c>
      <c r="O320" s="2">
        <v>46143</v>
      </c>
    </row>
    <row r="321" spans="1:15" x14ac:dyDescent="0.3">
      <c r="A321" t="s">
        <v>673</v>
      </c>
      <c r="B321" s="2">
        <v>46068</v>
      </c>
      <c r="C321" t="s">
        <v>48</v>
      </c>
      <c r="D321" t="s">
        <v>72</v>
      </c>
      <c r="E321" t="s">
        <v>27</v>
      </c>
      <c r="F321" t="s">
        <v>28</v>
      </c>
      <c r="G321">
        <v>5</v>
      </c>
      <c r="H321">
        <v>500</v>
      </c>
      <c r="I321">
        <v>20</v>
      </c>
      <c r="J321" t="s">
        <v>51</v>
      </c>
      <c r="K321" t="s">
        <v>30</v>
      </c>
      <c r="L321">
        <v>2000</v>
      </c>
      <c r="M321" t="s">
        <v>765</v>
      </c>
      <c r="N321">
        <v>2</v>
      </c>
      <c r="O321" s="2">
        <v>46054</v>
      </c>
    </row>
    <row r="322" spans="1:15" x14ac:dyDescent="0.3">
      <c r="A322" t="s">
        <v>663</v>
      </c>
      <c r="B322" s="2">
        <v>46061</v>
      </c>
      <c r="C322" t="s">
        <v>105</v>
      </c>
      <c r="D322" t="s">
        <v>40</v>
      </c>
      <c r="E322" t="s">
        <v>15</v>
      </c>
      <c r="F322" t="s">
        <v>146</v>
      </c>
      <c r="G322">
        <v>1</v>
      </c>
      <c r="H322">
        <v>2500</v>
      </c>
      <c r="I322">
        <v>20</v>
      </c>
      <c r="J322" t="s">
        <v>764</v>
      </c>
      <c r="K322" t="s">
        <v>30</v>
      </c>
      <c r="L322">
        <v>2000</v>
      </c>
      <c r="M322" t="s">
        <v>765</v>
      </c>
      <c r="N322">
        <v>2</v>
      </c>
      <c r="O322" s="2">
        <v>46054</v>
      </c>
    </row>
    <row r="323" spans="1:15" x14ac:dyDescent="0.3">
      <c r="A323" t="s">
        <v>512</v>
      </c>
      <c r="B323" s="2">
        <v>46118</v>
      </c>
      <c r="C323" t="s">
        <v>117</v>
      </c>
      <c r="D323" t="s">
        <v>72</v>
      </c>
      <c r="E323" t="s">
        <v>27</v>
      </c>
      <c r="F323" t="s">
        <v>28</v>
      </c>
      <c r="G323">
        <v>4</v>
      </c>
      <c r="H323">
        <v>500</v>
      </c>
      <c r="I323">
        <v>0</v>
      </c>
      <c r="J323" t="s">
        <v>764</v>
      </c>
      <c r="K323" t="s">
        <v>18</v>
      </c>
      <c r="L323">
        <v>2000</v>
      </c>
      <c r="M323" t="s">
        <v>768</v>
      </c>
      <c r="N323">
        <v>4</v>
      </c>
      <c r="O323" s="2">
        <v>46113</v>
      </c>
    </row>
    <row r="324" spans="1:15" x14ac:dyDescent="0.3">
      <c r="A324" t="s">
        <v>369</v>
      </c>
      <c r="B324" s="2">
        <v>46151</v>
      </c>
      <c r="C324" t="s">
        <v>105</v>
      </c>
      <c r="D324" t="s">
        <v>40</v>
      </c>
      <c r="E324" t="s">
        <v>27</v>
      </c>
      <c r="F324" t="s">
        <v>28</v>
      </c>
      <c r="G324">
        <v>4</v>
      </c>
      <c r="H324">
        <v>500</v>
      </c>
      <c r="I324">
        <v>0</v>
      </c>
      <c r="J324" t="s">
        <v>51</v>
      </c>
      <c r="K324" t="s">
        <v>36</v>
      </c>
      <c r="L324">
        <v>2000</v>
      </c>
      <c r="M324" t="s">
        <v>769</v>
      </c>
      <c r="N324">
        <v>5</v>
      </c>
      <c r="O324" s="2">
        <v>46143</v>
      </c>
    </row>
    <row r="325" spans="1:15" x14ac:dyDescent="0.3">
      <c r="A325" t="s">
        <v>79</v>
      </c>
      <c r="B325" s="2">
        <v>46178</v>
      </c>
      <c r="C325" t="s">
        <v>21</v>
      </c>
      <c r="D325" t="s">
        <v>14</v>
      </c>
      <c r="E325" t="s">
        <v>34</v>
      </c>
      <c r="F325" t="s">
        <v>81</v>
      </c>
      <c r="G325">
        <v>3</v>
      </c>
      <c r="H325">
        <v>700</v>
      </c>
      <c r="I325">
        <v>5</v>
      </c>
      <c r="J325" t="s">
        <v>764</v>
      </c>
      <c r="K325" t="s">
        <v>30</v>
      </c>
      <c r="L325">
        <v>1995</v>
      </c>
      <c r="M325" t="s">
        <v>770</v>
      </c>
      <c r="N325">
        <v>6</v>
      </c>
      <c r="O325" s="2">
        <v>46174</v>
      </c>
    </row>
    <row r="326" spans="1:15" x14ac:dyDescent="0.3">
      <c r="A326" t="s">
        <v>418</v>
      </c>
      <c r="B326" s="2">
        <v>46058</v>
      </c>
      <c r="C326" t="s">
        <v>13</v>
      </c>
      <c r="D326" t="s">
        <v>72</v>
      </c>
      <c r="E326" t="s">
        <v>15</v>
      </c>
      <c r="F326" t="s">
        <v>73</v>
      </c>
      <c r="G326">
        <v>1</v>
      </c>
      <c r="H326">
        <v>2200</v>
      </c>
      <c r="I326">
        <v>10</v>
      </c>
      <c r="J326" t="s">
        <v>51</v>
      </c>
      <c r="K326" t="s">
        <v>18</v>
      </c>
      <c r="L326">
        <v>1980</v>
      </c>
      <c r="M326" t="s">
        <v>765</v>
      </c>
      <c r="N326">
        <v>2</v>
      </c>
      <c r="O326" s="2">
        <v>46054</v>
      </c>
    </row>
    <row r="327" spans="1:15" x14ac:dyDescent="0.3">
      <c r="A327" t="s">
        <v>677</v>
      </c>
      <c r="B327" s="2">
        <v>46187</v>
      </c>
      <c r="C327" t="s">
        <v>39</v>
      </c>
      <c r="D327" t="s">
        <v>72</v>
      </c>
      <c r="E327" t="s">
        <v>27</v>
      </c>
      <c r="F327" t="s">
        <v>171</v>
      </c>
      <c r="G327">
        <v>4</v>
      </c>
      <c r="H327">
        <v>550</v>
      </c>
      <c r="I327">
        <v>10</v>
      </c>
      <c r="J327" t="s">
        <v>29</v>
      </c>
      <c r="K327" t="s">
        <v>30</v>
      </c>
      <c r="L327">
        <v>1980</v>
      </c>
      <c r="M327" t="s">
        <v>770</v>
      </c>
      <c r="N327">
        <v>6</v>
      </c>
      <c r="O327" s="2">
        <v>46174</v>
      </c>
    </row>
    <row r="328" spans="1:15" x14ac:dyDescent="0.3">
      <c r="A328" t="s">
        <v>136</v>
      </c>
      <c r="B328" s="2">
        <v>46152</v>
      </c>
      <c r="C328" t="s">
        <v>39</v>
      </c>
      <c r="D328" t="s">
        <v>14</v>
      </c>
      <c r="E328" t="s">
        <v>27</v>
      </c>
      <c r="F328" t="s">
        <v>138</v>
      </c>
      <c r="G328">
        <v>3</v>
      </c>
      <c r="H328">
        <v>650</v>
      </c>
      <c r="I328">
        <v>0</v>
      </c>
      <c r="J328" t="s">
        <v>55</v>
      </c>
      <c r="K328" t="s">
        <v>30</v>
      </c>
      <c r="L328">
        <v>1950</v>
      </c>
      <c r="M328" t="s">
        <v>769</v>
      </c>
      <c r="N328">
        <v>5</v>
      </c>
      <c r="O328" s="2">
        <v>46143</v>
      </c>
    </row>
    <row r="329" spans="1:15" x14ac:dyDescent="0.3">
      <c r="A329" t="s">
        <v>314</v>
      </c>
      <c r="B329" s="2">
        <v>46148</v>
      </c>
      <c r="C329" t="s">
        <v>215</v>
      </c>
      <c r="D329" t="s">
        <v>72</v>
      </c>
      <c r="E329" t="s">
        <v>65</v>
      </c>
      <c r="F329" t="s">
        <v>85</v>
      </c>
      <c r="G329">
        <v>3</v>
      </c>
      <c r="H329">
        <v>650</v>
      </c>
      <c r="I329">
        <v>0</v>
      </c>
      <c r="J329" t="s">
        <v>51</v>
      </c>
      <c r="K329" t="s">
        <v>22</v>
      </c>
      <c r="L329">
        <v>1950</v>
      </c>
      <c r="M329" t="s">
        <v>769</v>
      </c>
      <c r="N329">
        <v>5</v>
      </c>
      <c r="O329" s="2">
        <v>46143</v>
      </c>
    </row>
    <row r="330" spans="1:15" x14ac:dyDescent="0.3">
      <c r="A330" t="s">
        <v>486</v>
      </c>
      <c r="B330" s="2">
        <v>46197</v>
      </c>
      <c r="C330" t="s">
        <v>154</v>
      </c>
      <c r="D330" t="s">
        <v>14</v>
      </c>
      <c r="E330" t="s">
        <v>65</v>
      </c>
      <c r="F330" t="s">
        <v>85</v>
      </c>
      <c r="G330">
        <v>3</v>
      </c>
      <c r="H330">
        <v>650</v>
      </c>
      <c r="I330">
        <v>0</v>
      </c>
      <c r="J330" t="s">
        <v>55</v>
      </c>
      <c r="K330" t="s">
        <v>18</v>
      </c>
      <c r="L330">
        <v>1950</v>
      </c>
      <c r="M330" t="s">
        <v>770</v>
      </c>
      <c r="N330">
        <v>6</v>
      </c>
      <c r="O330" s="2">
        <v>46174</v>
      </c>
    </row>
    <row r="331" spans="1:15" x14ac:dyDescent="0.3">
      <c r="A331" t="s">
        <v>567</v>
      </c>
      <c r="B331" s="2">
        <v>46190</v>
      </c>
      <c r="C331" t="s">
        <v>33</v>
      </c>
      <c r="D331" t="s">
        <v>14</v>
      </c>
      <c r="E331" t="s">
        <v>65</v>
      </c>
      <c r="F331" t="s">
        <v>85</v>
      </c>
      <c r="G331">
        <v>3</v>
      </c>
      <c r="H331">
        <v>650</v>
      </c>
      <c r="I331">
        <v>0</v>
      </c>
      <c r="J331" t="s">
        <v>29</v>
      </c>
      <c r="K331" t="s">
        <v>30</v>
      </c>
      <c r="L331">
        <v>1950</v>
      </c>
      <c r="M331" t="s">
        <v>770</v>
      </c>
      <c r="N331">
        <v>6</v>
      </c>
      <c r="O331" s="2">
        <v>46174</v>
      </c>
    </row>
    <row r="332" spans="1:15" x14ac:dyDescent="0.3">
      <c r="A332" t="s">
        <v>594</v>
      </c>
      <c r="B332" s="2">
        <v>46102</v>
      </c>
      <c r="C332" t="s">
        <v>61</v>
      </c>
      <c r="D332" t="s">
        <v>14</v>
      </c>
      <c r="E332" t="s">
        <v>34</v>
      </c>
      <c r="F332" t="s">
        <v>100</v>
      </c>
      <c r="G332">
        <v>2</v>
      </c>
      <c r="H332">
        <v>1200</v>
      </c>
      <c r="I332">
        <v>20</v>
      </c>
      <c r="J332" t="s">
        <v>51</v>
      </c>
      <c r="K332" t="s">
        <v>18</v>
      </c>
      <c r="L332">
        <v>1920</v>
      </c>
      <c r="M332" t="s">
        <v>767</v>
      </c>
      <c r="N332">
        <v>3</v>
      </c>
      <c r="O332" s="2">
        <v>46082</v>
      </c>
    </row>
    <row r="333" spans="1:15" x14ac:dyDescent="0.3">
      <c r="A333" t="s">
        <v>483</v>
      </c>
      <c r="B333" s="2">
        <v>46124</v>
      </c>
      <c r="C333" t="s">
        <v>39</v>
      </c>
      <c r="D333" t="s">
        <v>40</v>
      </c>
      <c r="E333" t="s">
        <v>34</v>
      </c>
      <c r="F333" t="s">
        <v>100</v>
      </c>
      <c r="G333">
        <v>2</v>
      </c>
      <c r="H333">
        <v>1200</v>
      </c>
      <c r="I333">
        <v>20</v>
      </c>
      <c r="J333" t="s">
        <v>764</v>
      </c>
      <c r="K333" t="s">
        <v>36</v>
      </c>
      <c r="L333">
        <v>1920</v>
      </c>
      <c r="M333" t="s">
        <v>768</v>
      </c>
      <c r="N333">
        <v>4</v>
      </c>
      <c r="O333" s="2">
        <v>46113</v>
      </c>
    </row>
    <row r="334" spans="1:15" x14ac:dyDescent="0.3">
      <c r="A334" t="s">
        <v>485</v>
      </c>
      <c r="B334" s="2">
        <v>46057</v>
      </c>
      <c r="C334" t="s">
        <v>33</v>
      </c>
      <c r="D334" t="s">
        <v>72</v>
      </c>
      <c r="E334" t="s">
        <v>65</v>
      </c>
      <c r="F334" t="s">
        <v>106</v>
      </c>
      <c r="G334">
        <v>3</v>
      </c>
      <c r="H334">
        <v>750</v>
      </c>
      <c r="I334">
        <v>15</v>
      </c>
      <c r="J334" t="s">
        <v>29</v>
      </c>
      <c r="K334" t="s">
        <v>18</v>
      </c>
      <c r="L334">
        <v>1912.5</v>
      </c>
      <c r="M334" t="s">
        <v>765</v>
      </c>
      <c r="N334">
        <v>2</v>
      </c>
      <c r="O334" s="2">
        <v>46054</v>
      </c>
    </row>
    <row r="335" spans="1:15" x14ac:dyDescent="0.3">
      <c r="A335" t="s">
        <v>658</v>
      </c>
      <c r="B335" s="2">
        <v>46122</v>
      </c>
      <c r="C335" t="s">
        <v>44</v>
      </c>
      <c r="D335" t="s">
        <v>72</v>
      </c>
      <c r="E335" t="s">
        <v>27</v>
      </c>
      <c r="F335" t="s">
        <v>89</v>
      </c>
      <c r="G335">
        <v>5</v>
      </c>
      <c r="H335">
        <v>450</v>
      </c>
      <c r="I335">
        <v>15</v>
      </c>
      <c r="J335" t="s">
        <v>55</v>
      </c>
      <c r="K335" t="s">
        <v>18</v>
      </c>
      <c r="L335">
        <v>1912.5</v>
      </c>
      <c r="M335" t="s">
        <v>768</v>
      </c>
      <c r="N335">
        <v>4</v>
      </c>
      <c r="O335" s="2">
        <v>46113</v>
      </c>
    </row>
    <row r="336" spans="1:15" x14ac:dyDescent="0.3">
      <c r="A336" t="s">
        <v>208</v>
      </c>
      <c r="B336" s="2">
        <v>46141</v>
      </c>
      <c r="C336" t="s">
        <v>71</v>
      </c>
      <c r="D336" t="s">
        <v>40</v>
      </c>
      <c r="E336" t="s">
        <v>65</v>
      </c>
      <c r="F336" t="s">
        <v>106</v>
      </c>
      <c r="G336">
        <v>3</v>
      </c>
      <c r="H336">
        <v>750</v>
      </c>
      <c r="I336">
        <v>15</v>
      </c>
      <c r="J336" t="s">
        <v>51</v>
      </c>
      <c r="K336" t="s">
        <v>22</v>
      </c>
      <c r="L336">
        <v>1912.5</v>
      </c>
      <c r="M336" t="s">
        <v>768</v>
      </c>
      <c r="N336">
        <v>4</v>
      </c>
      <c r="O336" s="2">
        <v>46113</v>
      </c>
    </row>
    <row r="337" spans="1:15" x14ac:dyDescent="0.3">
      <c r="A337" t="s">
        <v>500</v>
      </c>
      <c r="B337" s="2">
        <v>46129</v>
      </c>
      <c r="C337" t="s">
        <v>99</v>
      </c>
      <c r="D337" t="s">
        <v>14</v>
      </c>
      <c r="E337" t="s">
        <v>27</v>
      </c>
      <c r="F337" t="s">
        <v>28</v>
      </c>
      <c r="G337">
        <v>4</v>
      </c>
      <c r="H337">
        <v>500</v>
      </c>
      <c r="I337">
        <v>5</v>
      </c>
      <c r="J337" t="s">
        <v>51</v>
      </c>
      <c r="K337" t="s">
        <v>22</v>
      </c>
      <c r="L337">
        <v>1900</v>
      </c>
      <c r="M337" t="s">
        <v>768</v>
      </c>
      <c r="N337">
        <v>4</v>
      </c>
      <c r="O337" s="2">
        <v>46113</v>
      </c>
    </row>
    <row r="338" spans="1:15" x14ac:dyDescent="0.3">
      <c r="A338" t="s">
        <v>46</v>
      </c>
      <c r="B338" s="2">
        <v>46043</v>
      </c>
      <c r="C338" t="s">
        <v>48</v>
      </c>
      <c r="D338" t="s">
        <v>14</v>
      </c>
      <c r="E338" t="s">
        <v>49</v>
      </c>
      <c r="F338" t="s">
        <v>50</v>
      </c>
      <c r="G338">
        <v>1</v>
      </c>
      <c r="H338">
        <v>2200</v>
      </c>
      <c r="I338">
        <v>15</v>
      </c>
      <c r="J338" t="s">
        <v>51</v>
      </c>
      <c r="K338" t="s">
        <v>18</v>
      </c>
      <c r="L338">
        <v>1870</v>
      </c>
      <c r="M338" t="s">
        <v>763</v>
      </c>
      <c r="N338">
        <v>1</v>
      </c>
      <c r="O338" s="2">
        <v>46023</v>
      </c>
    </row>
    <row r="339" spans="1:15" x14ac:dyDescent="0.3">
      <c r="A339" t="s">
        <v>354</v>
      </c>
      <c r="B339" s="2">
        <v>46097</v>
      </c>
      <c r="C339" t="s">
        <v>179</v>
      </c>
      <c r="D339" t="s">
        <v>40</v>
      </c>
      <c r="E339" t="s">
        <v>49</v>
      </c>
      <c r="F339" t="s">
        <v>50</v>
      </c>
      <c r="G339">
        <v>1</v>
      </c>
      <c r="H339">
        <v>2200</v>
      </c>
      <c r="I339">
        <v>15</v>
      </c>
      <c r="J339" t="s">
        <v>29</v>
      </c>
      <c r="K339" t="s">
        <v>22</v>
      </c>
      <c r="L339">
        <v>1870</v>
      </c>
      <c r="M339" t="s">
        <v>767</v>
      </c>
      <c r="N339">
        <v>3</v>
      </c>
      <c r="O339" s="2">
        <v>46082</v>
      </c>
    </row>
    <row r="340" spans="1:15" x14ac:dyDescent="0.3">
      <c r="A340" t="s">
        <v>665</v>
      </c>
      <c r="B340" s="2">
        <v>46126</v>
      </c>
      <c r="C340" t="s">
        <v>105</v>
      </c>
      <c r="D340" t="s">
        <v>72</v>
      </c>
      <c r="E340" t="s">
        <v>49</v>
      </c>
      <c r="F340" t="s">
        <v>50</v>
      </c>
      <c r="G340">
        <v>1</v>
      </c>
      <c r="H340">
        <v>2200</v>
      </c>
      <c r="I340">
        <v>15</v>
      </c>
      <c r="J340" t="s">
        <v>51</v>
      </c>
      <c r="K340" t="s">
        <v>22</v>
      </c>
      <c r="L340">
        <v>1870</v>
      </c>
      <c r="M340" t="s">
        <v>768</v>
      </c>
      <c r="N340">
        <v>4</v>
      </c>
      <c r="O340" s="2">
        <v>46113</v>
      </c>
    </row>
    <row r="341" spans="1:15" x14ac:dyDescent="0.3">
      <c r="A341" t="s">
        <v>226</v>
      </c>
      <c r="B341" s="2">
        <v>46180</v>
      </c>
      <c r="C341" t="s">
        <v>159</v>
      </c>
      <c r="D341" t="s">
        <v>72</v>
      </c>
      <c r="E341" t="s">
        <v>27</v>
      </c>
      <c r="F341" t="s">
        <v>171</v>
      </c>
      <c r="G341">
        <v>4</v>
      </c>
      <c r="H341">
        <v>550</v>
      </c>
      <c r="I341">
        <v>15</v>
      </c>
      <c r="J341" t="s">
        <v>51</v>
      </c>
      <c r="K341" t="s">
        <v>30</v>
      </c>
      <c r="L341">
        <v>1870</v>
      </c>
      <c r="M341" t="s">
        <v>770</v>
      </c>
      <c r="N341">
        <v>6</v>
      </c>
      <c r="O341" s="2">
        <v>46174</v>
      </c>
    </row>
    <row r="342" spans="1:15" x14ac:dyDescent="0.3">
      <c r="A342" t="s">
        <v>674</v>
      </c>
      <c r="B342" s="2">
        <v>46199</v>
      </c>
      <c r="C342" t="s">
        <v>61</v>
      </c>
      <c r="D342" t="s">
        <v>26</v>
      </c>
      <c r="E342" t="s">
        <v>49</v>
      </c>
      <c r="F342" t="s">
        <v>50</v>
      </c>
      <c r="G342">
        <v>1</v>
      </c>
      <c r="H342">
        <v>2200</v>
      </c>
      <c r="I342">
        <v>15</v>
      </c>
      <c r="J342" t="s">
        <v>764</v>
      </c>
      <c r="K342" t="s">
        <v>22</v>
      </c>
      <c r="L342">
        <v>1870</v>
      </c>
      <c r="M342" t="s">
        <v>770</v>
      </c>
      <c r="N342">
        <v>6</v>
      </c>
      <c r="O342" s="2">
        <v>46174</v>
      </c>
    </row>
    <row r="343" spans="1:15" x14ac:dyDescent="0.3">
      <c r="A343" t="s">
        <v>82</v>
      </c>
      <c r="B343" s="2">
        <v>46051</v>
      </c>
      <c r="C343" t="s">
        <v>84</v>
      </c>
      <c r="D343" t="s">
        <v>26</v>
      </c>
      <c r="E343" t="s">
        <v>65</v>
      </c>
      <c r="F343" t="s">
        <v>85</v>
      </c>
      <c r="G343">
        <v>3</v>
      </c>
      <c r="H343">
        <v>650</v>
      </c>
      <c r="I343">
        <v>5</v>
      </c>
      <c r="J343" t="s">
        <v>764</v>
      </c>
      <c r="K343" t="s">
        <v>22</v>
      </c>
      <c r="L343">
        <v>1852.5</v>
      </c>
      <c r="M343" t="s">
        <v>763</v>
      </c>
      <c r="N343">
        <v>1</v>
      </c>
      <c r="O343" s="2">
        <v>46023</v>
      </c>
    </row>
    <row r="344" spans="1:15" x14ac:dyDescent="0.3">
      <c r="A344" t="s">
        <v>423</v>
      </c>
      <c r="B344" s="2">
        <v>46100</v>
      </c>
      <c r="C344" t="s">
        <v>71</v>
      </c>
      <c r="D344" t="s">
        <v>14</v>
      </c>
      <c r="E344" t="s">
        <v>27</v>
      </c>
      <c r="F344" t="s">
        <v>138</v>
      </c>
      <c r="G344">
        <v>3</v>
      </c>
      <c r="H344">
        <v>650</v>
      </c>
      <c r="I344">
        <v>5</v>
      </c>
      <c r="J344" t="s">
        <v>51</v>
      </c>
      <c r="K344" t="s">
        <v>30</v>
      </c>
      <c r="L344">
        <v>1852.5</v>
      </c>
      <c r="M344" t="s">
        <v>767</v>
      </c>
      <c r="N344">
        <v>3</v>
      </c>
      <c r="O344" s="2">
        <v>46082</v>
      </c>
    </row>
    <row r="345" spans="1:15" x14ac:dyDescent="0.3">
      <c r="A345" t="s">
        <v>216</v>
      </c>
      <c r="B345" s="2">
        <v>46142</v>
      </c>
      <c r="C345" t="s">
        <v>133</v>
      </c>
      <c r="D345" t="s">
        <v>26</v>
      </c>
      <c r="E345" t="s">
        <v>27</v>
      </c>
      <c r="F345" t="s">
        <v>138</v>
      </c>
      <c r="G345">
        <v>3</v>
      </c>
      <c r="H345">
        <v>650</v>
      </c>
      <c r="I345">
        <v>5</v>
      </c>
      <c r="J345" t="s">
        <v>764</v>
      </c>
      <c r="K345" t="s">
        <v>22</v>
      </c>
      <c r="L345">
        <v>1852.5</v>
      </c>
      <c r="M345" t="s">
        <v>768</v>
      </c>
      <c r="N345">
        <v>4</v>
      </c>
      <c r="O345" s="2">
        <v>46113</v>
      </c>
    </row>
    <row r="346" spans="1:15" x14ac:dyDescent="0.3">
      <c r="A346" t="s">
        <v>579</v>
      </c>
      <c r="B346" s="2">
        <v>46132</v>
      </c>
      <c r="C346" t="s">
        <v>21</v>
      </c>
      <c r="D346" t="s">
        <v>14</v>
      </c>
      <c r="E346" t="s">
        <v>65</v>
      </c>
      <c r="F346" t="s">
        <v>85</v>
      </c>
      <c r="G346">
        <v>3</v>
      </c>
      <c r="H346">
        <v>650</v>
      </c>
      <c r="I346">
        <v>5</v>
      </c>
      <c r="J346" t="s">
        <v>51</v>
      </c>
      <c r="K346" t="s">
        <v>36</v>
      </c>
      <c r="L346">
        <v>1852.5</v>
      </c>
      <c r="M346" t="s">
        <v>768</v>
      </c>
      <c r="N346">
        <v>4</v>
      </c>
      <c r="O346" s="2">
        <v>46113</v>
      </c>
    </row>
    <row r="347" spans="1:15" x14ac:dyDescent="0.3">
      <c r="A347" t="s">
        <v>597</v>
      </c>
      <c r="B347" s="2">
        <v>46139</v>
      </c>
      <c r="C347" t="s">
        <v>215</v>
      </c>
      <c r="D347" t="s">
        <v>40</v>
      </c>
      <c r="E347" t="s">
        <v>65</v>
      </c>
      <c r="F347" t="s">
        <v>85</v>
      </c>
      <c r="G347">
        <v>3</v>
      </c>
      <c r="H347">
        <v>650</v>
      </c>
      <c r="I347">
        <v>5</v>
      </c>
      <c r="J347" t="s">
        <v>764</v>
      </c>
      <c r="K347" t="s">
        <v>36</v>
      </c>
      <c r="L347">
        <v>1852.5</v>
      </c>
      <c r="M347" t="s">
        <v>768</v>
      </c>
      <c r="N347">
        <v>4</v>
      </c>
      <c r="O347" s="2">
        <v>46113</v>
      </c>
    </row>
    <row r="348" spans="1:15" x14ac:dyDescent="0.3">
      <c r="A348" t="s">
        <v>346</v>
      </c>
      <c r="B348" s="2">
        <v>46119</v>
      </c>
      <c r="C348" t="s">
        <v>109</v>
      </c>
      <c r="D348" t="s">
        <v>72</v>
      </c>
      <c r="E348" t="s">
        <v>27</v>
      </c>
      <c r="F348" t="s">
        <v>138</v>
      </c>
      <c r="G348">
        <v>3</v>
      </c>
      <c r="H348">
        <v>650</v>
      </c>
      <c r="I348">
        <v>5</v>
      </c>
      <c r="J348" t="s">
        <v>51</v>
      </c>
      <c r="K348" t="s">
        <v>30</v>
      </c>
      <c r="L348">
        <v>1852.5</v>
      </c>
      <c r="M348" t="s">
        <v>768</v>
      </c>
      <c r="N348">
        <v>4</v>
      </c>
      <c r="O348" s="2">
        <v>46113</v>
      </c>
    </row>
    <row r="349" spans="1:15" x14ac:dyDescent="0.3">
      <c r="A349" t="s">
        <v>477</v>
      </c>
      <c r="B349" s="2">
        <v>46038</v>
      </c>
      <c r="C349" t="s">
        <v>44</v>
      </c>
      <c r="D349" t="s">
        <v>14</v>
      </c>
      <c r="E349" t="s">
        <v>27</v>
      </c>
      <c r="F349" t="s">
        <v>89</v>
      </c>
      <c r="G349">
        <v>5</v>
      </c>
      <c r="H349">
        <v>450</v>
      </c>
      <c r="I349">
        <v>20</v>
      </c>
      <c r="J349" t="s">
        <v>55</v>
      </c>
      <c r="K349" t="s">
        <v>22</v>
      </c>
      <c r="L349">
        <v>1800</v>
      </c>
      <c r="M349" t="s">
        <v>763</v>
      </c>
      <c r="N349">
        <v>1</v>
      </c>
      <c r="O349" s="2">
        <v>46023</v>
      </c>
    </row>
    <row r="350" spans="1:15" x14ac:dyDescent="0.3">
      <c r="A350" t="s">
        <v>332</v>
      </c>
      <c r="B350" s="2">
        <v>46098</v>
      </c>
      <c r="C350" t="s">
        <v>25</v>
      </c>
      <c r="D350" t="s">
        <v>72</v>
      </c>
      <c r="E350" t="s">
        <v>27</v>
      </c>
      <c r="F350" t="s">
        <v>128</v>
      </c>
      <c r="G350">
        <v>1</v>
      </c>
      <c r="H350">
        <v>1800</v>
      </c>
      <c r="I350">
        <v>0</v>
      </c>
      <c r="J350" t="s">
        <v>55</v>
      </c>
      <c r="K350" t="s">
        <v>18</v>
      </c>
      <c r="L350">
        <v>1800</v>
      </c>
      <c r="M350" t="s">
        <v>767</v>
      </c>
      <c r="N350">
        <v>3</v>
      </c>
      <c r="O350" s="2">
        <v>46082</v>
      </c>
    </row>
    <row r="351" spans="1:15" x14ac:dyDescent="0.3">
      <c r="A351" t="s">
        <v>303</v>
      </c>
      <c r="B351" s="2">
        <v>46135</v>
      </c>
      <c r="C351" t="s">
        <v>117</v>
      </c>
      <c r="D351" t="s">
        <v>26</v>
      </c>
      <c r="E351" t="s">
        <v>15</v>
      </c>
      <c r="F351" t="s">
        <v>78</v>
      </c>
      <c r="G351">
        <v>2</v>
      </c>
      <c r="H351">
        <v>900</v>
      </c>
      <c r="I351">
        <v>0</v>
      </c>
      <c r="J351" t="s">
        <v>51</v>
      </c>
      <c r="K351" t="s">
        <v>30</v>
      </c>
      <c r="L351">
        <v>1800</v>
      </c>
      <c r="M351" t="s">
        <v>768</v>
      </c>
      <c r="N351">
        <v>4</v>
      </c>
      <c r="O351" s="2">
        <v>46113</v>
      </c>
    </row>
    <row r="352" spans="1:15" x14ac:dyDescent="0.3">
      <c r="A352" t="s">
        <v>444</v>
      </c>
      <c r="B352" s="2">
        <v>46125</v>
      </c>
      <c r="C352" t="s">
        <v>166</v>
      </c>
      <c r="D352" t="s">
        <v>40</v>
      </c>
      <c r="E352" t="s">
        <v>27</v>
      </c>
      <c r="F352" t="s">
        <v>128</v>
      </c>
      <c r="G352">
        <v>1</v>
      </c>
      <c r="H352">
        <v>1800</v>
      </c>
      <c r="I352">
        <v>0</v>
      </c>
      <c r="J352" t="s">
        <v>55</v>
      </c>
      <c r="K352" t="s">
        <v>30</v>
      </c>
      <c r="L352">
        <v>1800</v>
      </c>
      <c r="M352" t="s">
        <v>768</v>
      </c>
      <c r="N352">
        <v>4</v>
      </c>
      <c r="O352" s="2">
        <v>46113</v>
      </c>
    </row>
    <row r="353" spans="1:15" x14ac:dyDescent="0.3">
      <c r="A353" t="s">
        <v>744</v>
      </c>
      <c r="B353" s="2">
        <v>46152</v>
      </c>
      <c r="C353" t="s">
        <v>71</v>
      </c>
      <c r="D353" t="s">
        <v>72</v>
      </c>
      <c r="E353" t="s">
        <v>27</v>
      </c>
      <c r="F353" t="s">
        <v>89</v>
      </c>
      <c r="G353">
        <v>5</v>
      </c>
      <c r="H353">
        <v>450</v>
      </c>
      <c r="I353">
        <v>20</v>
      </c>
      <c r="J353" t="s">
        <v>29</v>
      </c>
      <c r="K353" t="s">
        <v>36</v>
      </c>
      <c r="L353">
        <v>1800</v>
      </c>
      <c r="M353" t="s">
        <v>769</v>
      </c>
      <c r="N353">
        <v>5</v>
      </c>
      <c r="O353" s="2">
        <v>46143</v>
      </c>
    </row>
    <row r="354" spans="1:15" x14ac:dyDescent="0.3">
      <c r="A354" t="s">
        <v>299</v>
      </c>
      <c r="B354" s="2">
        <v>46099</v>
      </c>
      <c r="C354" t="s">
        <v>249</v>
      </c>
      <c r="D354" t="s">
        <v>72</v>
      </c>
      <c r="E354" t="s">
        <v>34</v>
      </c>
      <c r="F354" t="s">
        <v>81</v>
      </c>
      <c r="G354">
        <v>3</v>
      </c>
      <c r="H354">
        <v>700</v>
      </c>
      <c r="I354">
        <v>15</v>
      </c>
      <c r="J354" t="s">
        <v>51</v>
      </c>
      <c r="K354" t="s">
        <v>22</v>
      </c>
      <c r="L354">
        <v>1785</v>
      </c>
      <c r="M354" t="s">
        <v>767</v>
      </c>
      <c r="N354">
        <v>3</v>
      </c>
      <c r="O354" s="2">
        <v>46082</v>
      </c>
    </row>
    <row r="355" spans="1:15" x14ac:dyDescent="0.3">
      <c r="A355" t="s">
        <v>664</v>
      </c>
      <c r="B355" s="2">
        <v>46128</v>
      </c>
      <c r="C355" t="s">
        <v>39</v>
      </c>
      <c r="D355" t="s">
        <v>72</v>
      </c>
      <c r="E355" t="s">
        <v>27</v>
      </c>
      <c r="F355" t="s">
        <v>171</v>
      </c>
      <c r="G355">
        <v>4</v>
      </c>
      <c r="H355">
        <v>550</v>
      </c>
      <c r="I355">
        <v>20</v>
      </c>
      <c r="J355" t="s">
        <v>29</v>
      </c>
      <c r="K355" t="s">
        <v>36</v>
      </c>
      <c r="L355">
        <v>1760</v>
      </c>
      <c r="M355" t="s">
        <v>768</v>
      </c>
      <c r="N355">
        <v>4</v>
      </c>
      <c r="O355" s="2">
        <v>46113</v>
      </c>
    </row>
    <row r="356" spans="1:15" x14ac:dyDescent="0.3">
      <c r="A356" t="s">
        <v>645</v>
      </c>
      <c r="B356" s="2">
        <v>46031</v>
      </c>
      <c r="C356" t="s">
        <v>122</v>
      </c>
      <c r="D356" t="s">
        <v>40</v>
      </c>
      <c r="E356" t="s">
        <v>65</v>
      </c>
      <c r="F356" t="s">
        <v>85</v>
      </c>
      <c r="G356">
        <v>3</v>
      </c>
      <c r="H356">
        <v>650</v>
      </c>
      <c r="I356">
        <v>10</v>
      </c>
      <c r="J356" t="s">
        <v>764</v>
      </c>
      <c r="K356" t="s">
        <v>36</v>
      </c>
      <c r="L356">
        <v>1755</v>
      </c>
      <c r="M356" t="s">
        <v>763</v>
      </c>
      <c r="N356">
        <v>1</v>
      </c>
      <c r="O356" s="2">
        <v>46023</v>
      </c>
    </row>
    <row r="357" spans="1:15" x14ac:dyDescent="0.3">
      <c r="A357" t="s">
        <v>739</v>
      </c>
      <c r="B357" s="2">
        <v>46068</v>
      </c>
      <c r="C357" t="s">
        <v>154</v>
      </c>
      <c r="D357" t="s">
        <v>40</v>
      </c>
      <c r="E357" t="s">
        <v>34</v>
      </c>
      <c r="F357" t="s">
        <v>62</v>
      </c>
      <c r="G357">
        <v>2</v>
      </c>
      <c r="H357">
        <v>900</v>
      </c>
      <c r="I357">
        <v>5</v>
      </c>
      <c r="J357" t="s">
        <v>764</v>
      </c>
      <c r="K357" t="s">
        <v>18</v>
      </c>
      <c r="L357">
        <v>1710</v>
      </c>
      <c r="M357" t="s">
        <v>765</v>
      </c>
      <c r="N357">
        <v>2</v>
      </c>
      <c r="O357" s="2">
        <v>46054</v>
      </c>
    </row>
    <row r="358" spans="1:15" x14ac:dyDescent="0.3">
      <c r="A358" t="s">
        <v>155</v>
      </c>
      <c r="B358" s="2">
        <v>46068</v>
      </c>
      <c r="C358" t="s">
        <v>95</v>
      </c>
      <c r="D358" t="s">
        <v>72</v>
      </c>
      <c r="E358" t="s">
        <v>49</v>
      </c>
      <c r="F358" t="s">
        <v>157</v>
      </c>
      <c r="G358">
        <v>1</v>
      </c>
      <c r="H358">
        <v>1800</v>
      </c>
      <c r="I358">
        <v>5</v>
      </c>
      <c r="J358" t="s">
        <v>51</v>
      </c>
      <c r="K358" t="s">
        <v>18</v>
      </c>
      <c r="L358">
        <v>1710</v>
      </c>
      <c r="M358" t="s">
        <v>765</v>
      </c>
      <c r="N358">
        <v>2</v>
      </c>
      <c r="O358" s="2">
        <v>46054</v>
      </c>
    </row>
    <row r="359" spans="1:15" x14ac:dyDescent="0.3">
      <c r="A359" t="s">
        <v>730</v>
      </c>
      <c r="B359" s="2">
        <v>46110</v>
      </c>
      <c r="C359" t="s">
        <v>122</v>
      </c>
      <c r="D359" t="s">
        <v>72</v>
      </c>
      <c r="E359" t="s">
        <v>34</v>
      </c>
      <c r="F359" t="s">
        <v>62</v>
      </c>
      <c r="G359">
        <v>2</v>
      </c>
      <c r="H359">
        <v>900</v>
      </c>
      <c r="I359">
        <v>5</v>
      </c>
      <c r="J359" t="s">
        <v>29</v>
      </c>
      <c r="K359" t="s">
        <v>30</v>
      </c>
      <c r="L359">
        <v>1710</v>
      </c>
      <c r="M359" t="s">
        <v>767</v>
      </c>
      <c r="N359">
        <v>3</v>
      </c>
      <c r="O359" s="2">
        <v>46082</v>
      </c>
    </row>
    <row r="360" spans="1:15" x14ac:dyDescent="0.3">
      <c r="A360" t="s">
        <v>642</v>
      </c>
      <c r="B360" s="2">
        <v>46137</v>
      </c>
      <c r="C360" t="s">
        <v>220</v>
      </c>
      <c r="D360" t="s">
        <v>26</v>
      </c>
      <c r="E360" t="s">
        <v>15</v>
      </c>
      <c r="F360" t="s">
        <v>78</v>
      </c>
      <c r="G360">
        <v>2</v>
      </c>
      <c r="H360">
        <v>900</v>
      </c>
      <c r="I360">
        <v>5</v>
      </c>
      <c r="J360" t="s">
        <v>764</v>
      </c>
      <c r="K360" t="s">
        <v>30</v>
      </c>
      <c r="L360">
        <v>1710</v>
      </c>
      <c r="M360" t="s">
        <v>768</v>
      </c>
      <c r="N360">
        <v>4</v>
      </c>
      <c r="O360" s="2">
        <v>46113</v>
      </c>
    </row>
    <row r="361" spans="1:15" x14ac:dyDescent="0.3">
      <c r="A361" t="s">
        <v>722</v>
      </c>
      <c r="B361" s="2">
        <v>46118</v>
      </c>
      <c r="C361" t="s">
        <v>133</v>
      </c>
      <c r="D361" t="s">
        <v>40</v>
      </c>
      <c r="E361" t="s">
        <v>27</v>
      </c>
      <c r="F361" t="s">
        <v>128</v>
      </c>
      <c r="G361">
        <v>1</v>
      </c>
      <c r="H361">
        <v>1800</v>
      </c>
      <c r="I361">
        <v>5</v>
      </c>
      <c r="J361" t="s">
        <v>29</v>
      </c>
      <c r="K361" t="s">
        <v>22</v>
      </c>
      <c r="L361">
        <v>1710</v>
      </c>
      <c r="M361" t="s">
        <v>768</v>
      </c>
      <c r="N361">
        <v>4</v>
      </c>
      <c r="O361" s="2">
        <v>46113</v>
      </c>
    </row>
    <row r="362" spans="1:15" x14ac:dyDescent="0.3">
      <c r="A362" t="s">
        <v>345</v>
      </c>
      <c r="B362" s="2">
        <v>46167</v>
      </c>
      <c r="C362" t="s">
        <v>154</v>
      </c>
      <c r="D362" t="s">
        <v>72</v>
      </c>
      <c r="E362" t="s">
        <v>49</v>
      </c>
      <c r="F362" t="s">
        <v>157</v>
      </c>
      <c r="G362">
        <v>1</v>
      </c>
      <c r="H362">
        <v>1800</v>
      </c>
      <c r="I362">
        <v>5</v>
      </c>
      <c r="J362" t="s">
        <v>764</v>
      </c>
      <c r="K362" t="s">
        <v>36</v>
      </c>
      <c r="L362">
        <v>1710</v>
      </c>
      <c r="M362" t="s">
        <v>769</v>
      </c>
      <c r="N362">
        <v>5</v>
      </c>
      <c r="O362" s="2">
        <v>46143</v>
      </c>
    </row>
    <row r="363" spans="1:15" x14ac:dyDescent="0.3">
      <c r="A363" t="s">
        <v>383</v>
      </c>
      <c r="B363" s="2">
        <v>46151</v>
      </c>
      <c r="C363" t="s">
        <v>166</v>
      </c>
      <c r="D363" t="s">
        <v>72</v>
      </c>
      <c r="E363" t="s">
        <v>34</v>
      </c>
      <c r="F363" t="s">
        <v>62</v>
      </c>
      <c r="G363">
        <v>2</v>
      </c>
      <c r="H363">
        <v>900</v>
      </c>
      <c r="I363">
        <v>5</v>
      </c>
      <c r="J363" t="s">
        <v>55</v>
      </c>
      <c r="K363" t="s">
        <v>30</v>
      </c>
      <c r="L363">
        <v>1710</v>
      </c>
      <c r="M363" t="s">
        <v>769</v>
      </c>
      <c r="N363">
        <v>5</v>
      </c>
      <c r="O363" s="2">
        <v>46143</v>
      </c>
    </row>
    <row r="364" spans="1:15" x14ac:dyDescent="0.3">
      <c r="A364" t="s">
        <v>667</v>
      </c>
      <c r="B364" s="2">
        <v>46201</v>
      </c>
      <c r="C364" t="s">
        <v>154</v>
      </c>
      <c r="D364" t="s">
        <v>40</v>
      </c>
      <c r="E364" t="s">
        <v>34</v>
      </c>
      <c r="F364" t="s">
        <v>62</v>
      </c>
      <c r="G364">
        <v>2</v>
      </c>
      <c r="H364">
        <v>900</v>
      </c>
      <c r="I364">
        <v>5</v>
      </c>
      <c r="J364" t="s">
        <v>51</v>
      </c>
      <c r="K364" t="s">
        <v>18</v>
      </c>
      <c r="L364">
        <v>1710</v>
      </c>
      <c r="M364" t="s">
        <v>770</v>
      </c>
      <c r="N364">
        <v>6</v>
      </c>
      <c r="O364" s="2">
        <v>46174</v>
      </c>
    </row>
    <row r="365" spans="1:15" x14ac:dyDescent="0.3">
      <c r="A365" t="s">
        <v>446</v>
      </c>
      <c r="B365" s="2">
        <v>46139</v>
      </c>
      <c r="C365" t="s">
        <v>105</v>
      </c>
      <c r="D365" t="s">
        <v>14</v>
      </c>
      <c r="E365" t="s">
        <v>65</v>
      </c>
      <c r="F365" t="s">
        <v>92</v>
      </c>
      <c r="G365">
        <v>3</v>
      </c>
      <c r="H365">
        <v>700</v>
      </c>
      <c r="I365">
        <v>20</v>
      </c>
      <c r="J365" t="s">
        <v>51</v>
      </c>
      <c r="K365" t="s">
        <v>22</v>
      </c>
      <c r="L365">
        <v>1680</v>
      </c>
      <c r="M365" t="s">
        <v>768</v>
      </c>
      <c r="N365">
        <v>4</v>
      </c>
      <c r="O365" s="2">
        <v>46113</v>
      </c>
    </row>
    <row r="366" spans="1:15" x14ac:dyDescent="0.3">
      <c r="A366" t="s">
        <v>742</v>
      </c>
      <c r="B366" s="2">
        <v>46163</v>
      </c>
      <c r="C366" t="s">
        <v>54</v>
      </c>
      <c r="D366" t="s">
        <v>40</v>
      </c>
      <c r="E366" t="s">
        <v>65</v>
      </c>
      <c r="F366" t="s">
        <v>92</v>
      </c>
      <c r="G366">
        <v>3</v>
      </c>
      <c r="H366">
        <v>700</v>
      </c>
      <c r="I366">
        <v>20</v>
      </c>
      <c r="J366" t="s">
        <v>55</v>
      </c>
      <c r="K366" t="s">
        <v>22</v>
      </c>
      <c r="L366">
        <v>1680</v>
      </c>
      <c r="M366" t="s">
        <v>769</v>
      </c>
      <c r="N366">
        <v>5</v>
      </c>
      <c r="O366" s="2">
        <v>46143</v>
      </c>
    </row>
    <row r="367" spans="1:15" x14ac:dyDescent="0.3">
      <c r="A367" t="s">
        <v>432</v>
      </c>
      <c r="B367" s="2">
        <v>46103</v>
      </c>
      <c r="C367" t="s">
        <v>48</v>
      </c>
      <c r="D367" t="s">
        <v>26</v>
      </c>
      <c r="E367" t="s">
        <v>27</v>
      </c>
      <c r="F367" t="s">
        <v>138</v>
      </c>
      <c r="G367">
        <v>3</v>
      </c>
      <c r="H367">
        <v>650</v>
      </c>
      <c r="I367">
        <v>15</v>
      </c>
      <c r="J367" t="s">
        <v>55</v>
      </c>
      <c r="K367" t="s">
        <v>30</v>
      </c>
      <c r="L367">
        <v>1657.5</v>
      </c>
      <c r="M367" t="s">
        <v>767</v>
      </c>
      <c r="N367">
        <v>3</v>
      </c>
      <c r="O367" s="2">
        <v>46082</v>
      </c>
    </row>
    <row r="368" spans="1:15" x14ac:dyDescent="0.3">
      <c r="A368" t="s">
        <v>702</v>
      </c>
      <c r="B368" s="2">
        <v>46090</v>
      </c>
      <c r="C368" t="s">
        <v>44</v>
      </c>
      <c r="D368" t="s">
        <v>14</v>
      </c>
      <c r="E368" t="s">
        <v>27</v>
      </c>
      <c r="F368" t="s">
        <v>138</v>
      </c>
      <c r="G368">
        <v>3</v>
      </c>
      <c r="H368">
        <v>650</v>
      </c>
      <c r="I368">
        <v>15</v>
      </c>
      <c r="J368" t="s">
        <v>51</v>
      </c>
      <c r="K368" t="s">
        <v>22</v>
      </c>
      <c r="L368">
        <v>1657.5</v>
      </c>
      <c r="M368" t="s">
        <v>767</v>
      </c>
      <c r="N368">
        <v>3</v>
      </c>
      <c r="O368" s="2">
        <v>46082</v>
      </c>
    </row>
    <row r="369" spans="1:15" x14ac:dyDescent="0.3">
      <c r="A369" t="s">
        <v>424</v>
      </c>
      <c r="B369" s="2">
        <v>46073</v>
      </c>
      <c r="C369" t="s">
        <v>249</v>
      </c>
      <c r="D369" t="s">
        <v>26</v>
      </c>
      <c r="E369" t="s">
        <v>15</v>
      </c>
      <c r="F369" t="s">
        <v>78</v>
      </c>
      <c r="G369">
        <v>2</v>
      </c>
      <c r="H369">
        <v>900</v>
      </c>
      <c r="I369">
        <v>10</v>
      </c>
      <c r="J369" t="s">
        <v>764</v>
      </c>
      <c r="K369" t="s">
        <v>22</v>
      </c>
      <c r="L369">
        <v>1620</v>
      </c>
      <c r="M369" t="s">
        <v>765</v>
      </c>
      <c r="N369">
        <v>2</v>
      </c>
      <c r="O369" s="2">
        <v>46054</v>
      </c>
    </row>
    <row r="370" spans="1:15" x14ac:dyDescent="0.3">
      <c r="A370" t="s">
        <v>746</v>
      </c>
      <c r="B370" s="2">
        <v>46144</v>
      </c>
      <c r="C370" t="s">
        <v>99</v>
      </c>
      <c r="D370" t="s">
        <v>40</v>
      </c>
      <c r="E370" t="s">
        <v>27</v>
      </c>
      <c r="F370" t="s">
        <v>128</v>
      </c>
      <c r="G370">
        <v>1</v>
      </c>
      <c r="H370">
        <v>1800</v>
      </c>
      <c r="I370">
        <v>10</v>
      </c>
      <c r="J370" t="s">
        <v>29</v>
      </c>
      <c r="K370" t="s">
        <v>22</v>
      </c>
      <c r="L370">
        <v>1620</v>
      </c>
      <c r="M370" t="s">
        <v>769</v>
      </c>
      <c r="N370">
        <v>5</v>
      </c>
      <c r="O370" s="2">
        <v>46143</v>
      </c>
    </row>
    <row r="371" spans="1:15" x14ac:dyDescent="0.3">
      <c r="A371" t="s">
        <v>732</v>
      </c>
      <c r="B371" s="2">
        <v>46151</v>
      </c>
      <c r="C371" t="s">
        <v>99</v>
      </c>
      <c r="D371" t="s">
        <v>26</v>
      </c>
      <c r="E371" t="s">
        <v>49</v>
      </c>
      <c r="F371" t="s">
        <v>157</v>
      </c>
      <c r="G371">
        <v>1</v>
      </c>
      <c r="H371">
        <v>1800</v>
      </c>
      <c r="I371">
        <v>10</v>
      </c>
      <c r="J371" t="s">
        <v>29</v>
      </c>
      <c r="K371" t="s">
        <v>18</v>
      </c>
      <c r="L371">
        <v>1620</v>
      </c>
      <c r="M371" t="s">
        <v>769</v>
      </c>
      <c r="N371">
        <v>5</v>
      </c>
      <c r="O371" s="2">
        <v>46143</v>
      </c>
    </row>
    <row r="372" spans="1:15" x14ac:dyDescent="0.3">
      <c r="A372" t="s">
        <v>523</v>
      </c>
      <c r="B372" s="2">
        <v>46175</v>
      </c>
      <c r="C372" t="s">
        <v>176</v>
      </c>
      <c r="D372" t="s">
        <v>26</v>
      </c>
      <c r="E372" t="s">
        <v>27</v>
      </c>
      <c r="F372" t="s">
        <v>128</v>
      </c>
      <c r="G372">
        <v>1</v>
      </c>
      <c r="H372">
        <v>1800</v>
      </c>
      <c r="I372">
        <v>10</v>
      </c>
      <c r="J372" t="s">
        <v>29</v>
      </c>
      <c r="K372" t="s">
        <v>18</v>
      </c>
      <c r="L372">
        <v>1620</v>
      </c>
      <c r="M372" t="s">
        <v>770</v>
      </c>
      <c r="N372">
        <v>6</v>
      </c>
      <c r="O372" s="2">
        <v>46174</v>
      </c>
    </row>
    <row r="373" spans="1:15" x14ac:dyDescent="0.3">
      <c r="A373" t="s">
        <v>401</v>
      </c>
      <c r="B373" s="2">
        <v>46140</v>
      </c>
      <c r="C373" t="s">
        <v>117</v>
      </c>
      <c r="D373" t="s">
        <v>26</v>
      </c>
      <c r="E373" t="s">
        <v>49</v>
      </c>
      <c r="F373" t="s">
        <v>182</v>
      </c>
      <c r="G373">
        <v>2</v>
      </c>
      <c r="H373">
        <v>800</v>
      </c>
      <c r="I373">
        <v>0</v>
      </c>
      <c r="J373" t="s">
        <v>55</v>
      </c>
      <c r="K373" t="s">
        <v>36</v>
      </c>
      <c r="L373">
        <v>1600</v>
      </c>
      <c r="M373" t="s">
        <v>768</v>
      </c>
      <c r="N373">
        <v>4</v>
      </c>
      <c r="O373" s="2">
        <v>46113</v>
      </c>
    </row>
    <row r="374" spans="1:15" x14ac:dyDescent="0.3">
      <c r="A374" t="s">
        <v>323</v>
      </c>
      <c r="B374" s="2">
        <v>46192</v>
      </c>
      <c r="C374" t="s">
        <v>48</v>
      </c>
      <c r="D374" t="s">
        <v>40</v>
      </c>
      <c r="E374" t="s">
        <v>49</v>
      </c>
      <c r="F374" t="s">
        <v>182</v>
      </c>
      <c r="G374">
        <v>2</v>
      </c>
      <c r="H374">
        <v>800</v>
      </c>
      <c r="I374">
        <v>0</v>
      </c>
      <c r="J374" t="s">
        <v>51</v>
      </c>
      <c r="K374" t="s">
        <v>22</v>
      </c>
      <c r="L374">
        <v>1600</v>
      </c>
      <c r="M374" t="s">
        <v>770</v>
      </c>
      <c r="N374">
        <v>6</v>
      </c>
      <c r="O374" s="2">
        <v>46174</v>
      </c>
    </row>
    <row r="375" spans="1:15" x14ac:dyDescent="0.3">
      <c r="A375" t="s">
        <v>601</v>
      </c>
      <c r="B375" s="2">
        <v>46090</v>
      </c>
      <c r="C375" t="s">
        <v>133</v>
      </c>
      <c r="D375" t="s">
        <v>40</v>
      </c>
      <c r="E375" t="s">
        <v>27</v>
      </c>
      <c r="F375" t="s">
        <v>89</v>
      </c>
      <c r="G375">
        <v>4</v>
      </c>
      <c r="H375">
        <v>450</v>
      </c>
      <c r="I375">
        <v>15</v>
      </c>
      <c r="J375" t="s">
        <v>51</v>
      </c>
      <c r="K375" t="s">
        <v>36</v>
      </c>
      <c r="L375">
        <v>1530</v>
      </c>
      <c r="M375" t="s">
        <v>767</v>
      </c>
      <c r="N375">
        <v>3</v>
      </c>
      <c r="O375" s="2">
        <v>46082</v>
      </c>
    </row>
    <row r="376" spans="1:15" x14ac:dyDescent="0.3">
      <c r="A376" t="s">
        <v>720</v>
      </c>
      <c r="B376" s="2">
        <v>46116</v>
      </c>
      <c r="C376" t="s">
        <v>44</v>
      </c>
      <c r="D376" t="s">
        <v>40</v>
      </c>
      <c r="E376" t="s">
        <v>65</v>
      </c>
      <c r="F376" t="s">
        <v>96</v>
      </c>
      <c r="G376">
        <v>2</v>
      </c>
      <c r="H376">
        <v>900</v>
      </c>
      <c r="I376">
        <v>15</v>
      </c>
      <c r="J376" t="s">
        <v>51</v>
      </c>
      <c r="K376" t="s">
        <v>18</v>
      </c>
      <c r="L376">
        <v>1530</v>
      </c>
      <c r="M376" t="s">
        <v>768</v>
      </c>
      <c r="N376">
        <v>4</v>
      </c>
      <c r="O376" s="2">
        <v>46113</v>
      </c>
    </row>
    <row r="377" spans="1:15" x14ac:dyDescent="0.3">
      <c r="A377" t="s">
        <v>606</v>
      </c>
      <c r="B377" s="2">
        <v>46155</v>
      </c>
      <c r="C377" t="s">
        <v>117</v>
      </c>
      <c r="D377" t="s">
        <v>72</v>
      </c>
      <c r="E377" t="s">
        <v>49</v>
      </c>
      <c r="F377" t="s">
        <v>157</v>
      </c>
      <c r="G377">
        <v>1</v>
      </c>
      <c r="H377">
        <v>1800</v>
      </c>
      <c r="I377">
        <v>15</v>
      </c>
      <c r="J377" t="s">
        <v>51</v>
      </c>
      <c r="K377" t="s">
        <v>30</v>
      </c>
      <c r="L377">
        <v>1530</v>
      </c>
      <c r="M377" t="s">
        <v>769</v>
      </c>
      <c r="N377">
        <v>5</v>
      </c>
      <c r="O377" s="2">
        <v>46143</v>
      </c>
    </row>
    <row r="378" spans="1:15" x14ac:dyDescent="0.3">
      <c r="A378" t="s">
        <v>712</v>
      </c>
      <c r="B378" s="2">
        <v>46198</v>
      </c>
      <c r="C378" t="s">
        <v>95</v>
      </c>
      <c r="D378" t="s">
        <v>14</v>
      </c>
      <c r="E378" t="s">
        <v>27</v>
      </c>
      <c r="F378" t="s">
        <v>89</v>
      </c>
      <c r="G378">
        <v>4</v>
      </c>
      <c r="H378">
        <v>450</v>
      </c>
      <c r="I378">
        <v>15</v>
      </c>
      <c r="J378" t="s">
        <v>764</v>
      </c>
      <c r="K378" t="s">
        <v>18</v>
      </c>
      <c r="L378">
        <v>1530</v>
      </c>
      <c r="M378" t="s">
        <v>770</v>
      </c>
      <c r="N378">
        <v>6</v>
      </c>
      <c r="O378" s="2">
        <v>46174</v>
      </c>
    </row>
    <row r="379" spans="1:15" x14ac:dyDescent="0.3">
      <c r="A379" t="s">
        <v>172</v>
      </c>
      <c r="B379" s="2">
        <v>46201</v>
      </c>
      <c r="C379" t="s">
        <v>122</v>
      </c>
      <c r="D379" t="s">
        <v>14</v>
      </c>
      <c r="E379" t="s">
        <v>34</v>
      </c>
      <c r="F379" t="s">
        <v>62</v>
      </c>
      <c r="G379">
        <v>2</v>
      </c>
      <c r="H379">
        <v>900</v>
      </c>
      <c r="I379">
        <v>15</v>
      </c>
      <c r="J379" t="s">
        <v>29</v>
      </c>
      <c r="K379" t="s">
        <v>22</v>
      </c>
      <c r="L379">
        <v>1530</v>
      </c>
      <c r="M379" t="s">
        <v>770</v>
      </c>
      <c r="N379">
        <v>6</v>
      </c>
      <c r="O379" s="2">
        <v>46174</v>
      </c>
    </row>
    <row r="380" spans="1:15" x14ac:dyDescent="0.3">
      <c r="A380" t="s">
        <v>679</v>
      </c>
      <c r="B380" s="2">
        <v>46178</v>
      </c>
      <c r="C380" t="s">
        <v>122</v>
      </c>
      <c r="D380" t="s">
        <v>26</v>
      </c>
      <c r="E380" t="s">
        <v>27</v>
      </c>
      <c r="F380" t="s">
        <v>128</v>
      </c>
      <c r="G380">
        <v>1</v>
      </c>
      <c r="H380">
        <v>1800</v>
      </c>
      <c r="I380">
        <v>15</v>
      </c>
      <c r="J380" t="s">
        <v>764</v>
      </c>
      <c r="K380" t="s">
        <v>30</v>
      </c>
      <c r="L380">
        <v>1530</v>
      </c>
      <c r="M380" t="s">
        <v>770</v>
      </c>
      <c r="N380">
        <v>6</v>
      </c>
      <c r="O380" s="2">
        <v>46174</v>
      </c>
    </row>
    <row r="381" spans="1:15" x14ac:dyDescent="0.3">
      <c r="A381" t="s">
        <v>335</v>
      </c>
      <c r="B381" s="2">
        <v>46193</v>
      </c>
      <c r="C381" t="s">
        <v>39</v>
      </c>
      <c r="D381" t="s">
        <v>26</v>
      </c>
      <c r="E381" t="s">
        <v>65</v>
      </c>
      <c r="F381" t="s">
        <v>96</v>
      </c>
      <c r="G381">
        <v>2</v>
      </c>
      <c r="H381">
        <v>900</v>
      </c>
      <c r="I381">
        <v>15</v>
      </c>
      <c r="J381" t="s">
        <v>764</v>
      </c>
      <c r="K381" t="s">
        <v>36</v>
      </c>
      <c r="L381">
        <v>1530</v>
      </c>
      <c r="M381" t="s">
        <v>770</v>
      </c>
      <c r="N381">
        <v>6</v>
      </c>
      <c r="O381" s="2">
        <v>46174</v>
      </c>
    </row>
    <row r="382" spans="1:15" x14ac:dyDescent="0.3">
      <c r="A382" t="s">
        <v>514</v>
      </c>
      <c r="B382" s="2">
        <v>46047</v>
      </c>
      <c r="C382" t="s">
        <v>166</v>
      </c>
      <c r="D382" t="s">
        <v>14</v>
      </c>
      <c r="E382" t="s">
        <v>49</v>
      </c>
      <c r="F382" t="s">
        <v>182</v>
      </c>
      <c r="G382">
        <v>2</v>
      </c>
      <c r="H382">
        <v>800</v>
      </c>
      <c r="I382">
        <v>5</v>
      </c>
      <c r="J382" t="s">
        <v>51</v>
      </c>
      <c r="K382" t="s">
        <v>30</v>
      </c>
      <c r="L382">
        <v>1520</v>
      </c>
      <c r="M382" t="s">
        <v>763</v>
      </c>
      <c r="N382">
        <v>1</v>
      </c>
      <c r="O382" s="2">
        <v>46023</v>
      </c>
    </row>
    <row r="383" spans="1:15" x14ac:dyDescent="0.3">
      <c r="A383" t="s">
        <v>660</v>
      </c>
      <c r="B383" s="2">
        <v>46065</v>
      </c>
      <c r="C383" t="s">
        <v>21</v>
      </c>
      <c r="D383" t="s">
        <v>14</v>
      </c>
      <c r="E383" t="s">
        <v>65</v>
      </c>
      <c r="F383" t="s">
        <v>106</v>
      </c>
      <c r="G383">
        <v>2</v>
      </c>
      <c r="H383">
        <v>750</v>
      </c>
      <c r="I383">
        <v>0</v>
      </c>
      <c r="J383" t="s">
        <v>29</v>
      </c>
      <c r="K383" t="s">
        <v>36</v>
      </c>
      <c r="L383">
        <v>1500</v>
      </c>
      <c r="M383" t="s">
        <v>765</v>
      </c>
      <c r="N383">
        <v>2</v>
      </c>
      <c r="O383" s="2">
        <v>46054</v>
      </c>
    </row>
    <row r="384" spans="1:15" x14ac:dyDescent="0.3">
      <c r="A384" t="s">
        <v>163</v>
      </c>
      <c r="B384" s="2">
        <v>46089</v>
      </c>
      <c r="C384" t="s">
        <v>71</v>
      </c>
      <c r="D384" t="s">
        <v>26</v>
      </c>
      <c r="E384" t="s">
        <v>15</v>
      </c>
      <c r="F384" t="s">
        <v>16</v>
      </c>
      <c r="G384">
        <v>1</v>
      </c>
      <c r="H384">
        <v>1500</v>
      </c>
      <c r="I384">
        <v>0</v>
      </c>
      <c r="J384" t="s">
        <v>29</v>
      </c>
      <c r="K384" t="s">
        <v>30</v>
      </c>
      <c r="L384">
        <v>1500</v>
      </c>
      <c r="M384" t="s">
        <v>767</v>
      </c>
      <c r="N384">
        <v>3</v>
      </c>
      <c r="O384" s="2">
        <v>46082</v>
      </c>
    </row>
    <row r="385" spans="1:15" x14ac:dyDescent="0.3">
      <c r="A385" t="s">
        <v>343</v>
      </c>
      <c r="B385" s="2">
        <v>46030</v>
      </c>
      <c r="C385" t="s">
        <v>71</v>
      </c>
      <c r="D385" t="s">
        <v>26</v>
      </c>
      <c r="E385" t="s">
        <v>27</v>
      </c>
      <c r="F385" t="s">
        <v>171</v>
      </c>
      <c r="G385">
        <v>3</v>
      </c>
      <c r="H385">
        <v>550</v>
      </c>
      <c r="I385">
        <v>10</v>
      </c>
      <c r="J385" t="s">
        <v>51</v>
      </c>
      <c r="K385" t="s">
        <v>36</v>
      </c>
      <c r="L385">
        <v>1485</v>
      </c>
      <c r="M385" t="s">
        <v>763</v>
      </c>
      <c r="N385">
        <v>1</v>
      </c>
      <c r="O385" s="2">
        <v>46023</v>
      </c>
    </row>
    <row r="386" spans="1:15" x14ac:dyDescent="0.3">
      <c r="A386" t="s">
        <v>397</v>
      </c>
      <c r="B386" s="2">
        <v>46023</v>
      </c>
      <c r="C386" t="s">
        <v>215</v>
      </c>
      <c r="D386" t="s">
        <v>26</v>
      </c>
      <c r="E386" t="s">
        <v>34</v>
      </c>
      <c r="F386" t="s">
        <v>62</v>
      </c>
      <c r="G386">
        <v>2</v>
      </c>
      <c r="H386">
        <v>900</v>
      </c>
      <c r="I386">
        <v>20</v>
      </c>
      <c r="J386" t="s">
        <v>29</v>
      </c>
      <c r="K386" t="s">
        <v>22</v>
      </c>
      <c r="L386">
        <v>1440</v>
      </c>
      <c r="M386" t="s">
        <v>763</v>
      </c>
      <c r="N386">
        <v>1</v>
      </c>
      <c r="O386" s="2">
        <v>46023</v>
      </c>
    </row>
    <row r="387" spans="1:15" x14ac:dyDescent="0.3">
      <c r="A387" t="s">
        <v>671</v>
      </c>
      <c r="B387" s="2">
        <v>46139</v>
      </c>
      <c r="C387" t="s">
        <v>117</v>
      </c>
      <c r="D387" t="s">
        <v>26</v>
      </c>
      <c r="E387" t="s">
        <v>49</v>
      </c>
      <c r="F387" t="s">
        <v>182</v>
      </c>
      <c r="G387">
        <v>2</v>
      </c>
      <c r="H387">
        <v>800</v>
      </c>
      <c r="I387">
        <v>10</v>
      </c>
      <c r="J387" t="s">
        <v>51</v>
      </c>
      <c r="K387" t="s">
        <v>18</v>
      </c>
      <c r="L387">
        <v>1440</v>
      </c>
      <c r="M387" t="s">
        <v>768</v>
      </c>
      <c r="N387">
        <v>4</v>
      </c>
      <c r="O387" s="2">
        <v>46113</v>
      </c>
    </row>
    <row r="388" spans="1:15" x14ac:dyDescent="0.3">
      <c r="A388" t="s">
        <v>450</v>
      </c>
      <c r="B388" s="2">
        <v>46120</v>
      </c>
      <c r="C388" t="s">
        <v>105</v>
      </c>
      <c r="D388" t="s">
        <v>14</v>
      </c>
      <c r="E388" t="s">
        <v>27</v>
      </c>
      <c r="F388" t="s">
        <v>128</v>
      </c>
      <c r="G388">
        <v>1</v>
      </c>
      <c r="H388">
        <v>1800</v>
      </c>
      <c r="I388">
        <v>20</v>
      </c>
      <c r="J388" t="s">
        <v>764</v>
      </c>
      <c r="K388" t="s">
        <v>22</v>
      </c>
      <c r="L388">
        <v>1440</v>
      </c>
      <c r="M388" t="s">
        <v>768</v>
      </c>
      <c r="N388">
        <v>4</v>
      </c>
      <c r="O388" s="2">
        <v>46113</v>
      </c>
    </row>
    <row r="389" spans="1:15" x14ac:dyDescent="0.3">
      <c r="A389" t="s">
        <v>489</v>
      </c>
      <c r="B389" s="2">
        <v>46081</v>
      </c>
      <c r="C389" t="s">
        <v>13</v>
      </c>
      <c r="D389" t="s">
        <v>72</v>
      </c>
      <c r="E389" t="s">
        <v>27</v>
      </c>
      <c r="F389" t="s">
        <v>28</v>
      </c>
      <c r="G389">
        <v>3</v>
      </c>
      <c r="H389">
        <v>500</v>
      </c>
      <c r="I389">
        <v>5</v>
      </c>
      <c r="J389" t="s">
        <v>51</v>
      </c>
      <c r="K389" t="s">
        <v>22</v>
      </c>
      <c r="L389">
        <v>1425</v>
      </c>
      <c r="M389" t="s">
        <v>765</v>
      </c>
      <c r="N389">
        <v>2</v>
      </c>
      <c r="O389" s="2">
        <v>46054</v>
      </c>
    </row>
    <row r="390" spans="1:15" x14ac:dyDescent="0.3">
      <c r="A390" t="s">
        <v>110</v>
      </c>
      <c r="B390" s="2">
        <v>46126</v>
      </c>
      <c r="C390" t="s">
        <v>88</v>
      </c>
      <c r="D390" t="s">
        <v>26</v>
      </c>
      <c r="E390" t="s">
        <v>15</v>
      </c>
      <c r="F390" t="s">
        <v>16</v>
      </c>
      <c r="G390">
        <v>1</v>
      </c>
      <c r="H390">
        <v>1500</v>
      </c>
      <c r="I390">
        <v>5</v>
      </c>
      <c r="J390" t="s">
        <v>55</v>
      </c>
      <c r="K390" t="s">
        <v>22</v>
      </c>
      <c r="L390">
        <v>1425</v>
      </c>
      <c r="M390" t="s">
        <v>768</v>
      </c>
      <c r="N390">
        <v>4</v>
      </c>
      <c r="O390" s="2">
        <v>46113</v>
      </c>
    </row>
    <row r="391" spans="1:15" x14ac:dyDescent="0.3">
      <c r="A391" t="s">
        <v>149</v>
      </c>
      <c r="B391" s="2">
        <v>46164</v>
      </c>
      <c r="C391" t="s">
        <v>105</v>
      </c>
      <c r="D391" t="s">
        <v>14</v>
      </c>
      <c r="E391" t="s">
        <v>34</v>
      </c>
      <c r="F391" t="s">
        <v>81</v>
      </c>
      <c r="G391">
        <v>2</v>
      </c>
      <c r="H391">
        <v>700</v>
      </c>
      <c r="I391">
        <v>0</v>
      </c>
      <c r="J391" t="s">
        <v>51</v>
      </c>
      <c r="K391" t="s">
        <v>30</v>
      </c>
      <c r="L391">
        <v>1400</v>
      </c>
      <c r="M391" t="s">
        <v>769</v>
      </c>
      <c r="N391">
        <v>5</v>
      </c>
      <c r="O391" s="2">
        <v>46143</v>
      </c>
    </row>
    <row r="392" spans="1:15" x14ac:dyDescent="0.3">
      <c r="A392" t="s">
        <v>580</v>
      </c>
      <c r="B392" s="2">
        <v>46044</v>
      </c>
      <c r="C392" t="s">
        <v>54</v>
      </c>
      <c r="D392" t="s">
        <v>14</v>
      </c>
      <c r="E392" t="s">
        <v>34</v>
      </c>
      <c r="F392" t="s">
        <v>41</v>
      </c>
      <c r="G392">
        <v>1</v>
      </c>
      <c r="H392">
        <v>1600</v>
      </c>
      <c r="I392">
        <v>15</v>
      </c>
      <c r="J392" t="s">
        <v>51</v>
      </c>
      <c r="K392" t="s">
        <v>22</v>
      </c>
      <c r="L392">
        <v>1360</v>
      </c>
      <c r="M392" t="s">
        <v>763</v>
      </c>
      <c r="N392">
        <v>1</v>
      </c>
      <c r="O392" s="2">
        <v>46023</v>
      </c>
    </row>
    <row r="393" spans="1:15" x14ac:dyDescent="0.3">
      <c r="A393" t="s">
        <v>63</v>
      </c>
      <c r="B393" s="2">
        <v>46059</v>
      </c>
      <c r="C393" t="s">
        <v>39</v>
      </c>
      <c r="D393" t="s">
        <v>14</v>
      </c>
      <c r="E393" t="s">
        <v>65</v>
      </c>
      <c r="F393" t="s">
        <v>66</v>
      </c>
      <c r="G393">
        <v>2</v>
      </c>
      <c r="H393">
        <v>850</v>
      </c>
      <c r="I393">
        <v>20</v>
      </c>
      <c r="J393" t="s">
        <v>51</v>
      </c>
      <c r="K393" t="s">
        <v>18</v>
      </c>
      <c r="L393">
        <v>1360</v>
      </c>
      <c r="M393" t="s">
        <v>765</v>
      </c>
      <c r="N393">
        <v>2</v>
      </c>
      <c r="O393" s="2">
        <v>46054</v>
      </c>
    </row>
    <row r="394" spans="1:15" x14ac:dyDescent="0.3">
      <c r="A394" t="s">
        <v>228</v>
      </c>
      <c r="B394" s="2">
        <v>46094</v>
      </c>
      <c r="C394" t="s">
        <v>95</v>
      </c>
      <c r="D394" t="s">
        <v>72</v>
      </c>
      <c r="E394" t="s">
        <v>49</v>
      </c>
      <c r="F394" t="s">
        <v>182</v>
      </c>
      <c r="G394">
        <v>2</v>
      </c>
      <c r="H394">
        <v>800</v>
      </c>
      <c r="I394">
        <v>15</v>
      </c>
      <c r="J394" t="s">
        <v>29</v>
      </c>
      <c r="K394" t="s">
        <v>30</v>
      </c>
      <c r="L394">
        <v>1360</v>
      </c>
      <c r="M394" t="s">
        <v>767</v>
      </c>
      <c r="N394">
        <v>3</v>
      </c>
      <c r="O394" s="2">
        <v>46082</v>
      </c>
    </row>
    <row r="395" spans="1:15" x14ac:dyDescent="0.3">
      <c r="A395" t="s">
        <v>400</v>
      </c>
      <c r="B395" s="2">
        <v>46113</v>
      </c>
      <c r="C395" t="s">
        <v>99</v>
      </c>
      <c r="D395" t="s">
        <v>26</v>
      </c>
      <c r="E395" t="s">
        <v>49</v>
      </c>
      <c r="F395" t="s">
        <v>182</v>
      </c>
      <c r="G395">
        <v>2</v>
      </c>
      <c r="H395">
        <v>800</v>
      </c>
      <c r="I395">
        <v>15</v>
      </c>
      <c r="J395" t="s">
        <v>29</v>
      </c>
      <c r="K395" t="s">
        <v>22</v>
      </c>
      <c r="L395">
        <v>1360</v>
      </c>
      <c r="M395" t="s">
        <v>768</v>
      </c>
      <c r="N395">
        <v>4</v>
      </c>
      <c r="O395" s="2">
        <v>46113</v>
      </c>
    </row>
    <row r="396" spans="1:15" x14ac:dyDescent="0.3">
      <c r="A396" t="s">
        <v>575</v>
      </c>
      <c r="B396" s="2">
        <v>46046</v>
      </c>
      <c r="C396" t="s">
        <v>88</v>
      </c>
      <c r="D396" t="s">
        <v>72</v>
      </c>
      <c r="E396" t="s">
        <v>27</v>
      </c>
      <c r="F396" t="s">
        <v>89</v>
      </c>
      <c r="G396">
        <v>3</v>
      </c>
      <c r="H396">
        <v>450</v>
      </c>
      <c r="I396">
        <v>0</v>
      </c>
      <c r="J396" t="s">
        <v>29</v>
      </c>
      <c r="K396" t="s">
        <v>22</v>
      </c>
      <c r="L396">
        <v>1350</v>
      </c>
      <c r="M396" t="s">
        <v>763</v>
      </c>
      <c r="N396">
        <v>1</v>
      </c>
      <c r="O396" s="2">
        <v>46023</v>
      </c>
    </row>
    <row r="397" spans="1:15" x14ac:dyDescent="0.3">
      <c r="A397" t="s">
        <v>641</v>
      </c>
      <c r="B397" s="2">
        <v>46107</v>
      </c>
      <c r="C397" t="s">
        <v>88</v>
      </c>
      <c r="D397" t="s">
        <v>40</v>
      </c>
      <c r="E397" t="s">
        <v>65</v>
      </c>
      <c r="F397" t="s">
        <v>106</v>
      </c>
      <c r="G397">
        <v>2</v>
      </c>
      <c r="H397">
        <v>750</v>
      </c>
      <c r="I397">
        <v>10</v>
      </c>
      <c r="J397" t="s">
        <v>51</v>
      </c>
      <c r="K397" t="s">
        <v>22</v>
      </c>
      <c r="L397">
        <v>1350</v>
      </c>
      <c r="M397" t="s">
        <v>767</v>
      </c>
      <c r="N397">
        <v>3</v>
      </c>
      <c r="O397" s="2">
        <v>46082</v>
      </c>
    </row>
    <row r="398" spans="1:15" x14ac:dyDescent="0.3">
      <c r="A398" t="s">
        <v>518</v>
      </c>
      <c r="B398" s="2">
        <v>46047</v>
      </c>
      <c r="C398" t="s">
        <v>95</v>
      </c>
      <c r="D398" t="s">
        <v>40</v>
      </c>
      <c r="E398" t="s">
        <v>34</v>
      </c>
      <c r="F398" t="s">
        <v>81</v>
      </c>
      <c r="G398">
        <v>2</v>
      </c>
      <c r="H398">
        <v>700</v>
      </c>
      <c r="I398">
        <v>5</v>
      </c>
      <c r="J398" t="s">
        <v>29</v>
      </c>
      <c r="K398" t="s">
        <v>30</v>
      </c>
      <c r="L398">
        <v>1330</v>
      </c>
      <c r="M398" t="s">
        <v>763</v>
      </c>
      <c r="N398">
        <v>1</v>
      </c>
      <c r="O398" s="2">
        <v>46023</v>
      </c>
    </row>
    <row r="399" spans="1:15" x14ac:dyDescent="0.3">
      <c r="A399" t="s">
        <v>555</v>
      </c>
      <c r="B399" s="2">
        <v>46132</v>
      </c>
      <c r="C399" t="s">
        <v>176</v>
      </c>
      <c r="D399" t="s">
        <v>40</v>
      </c>
      <c r="E399" t="s">
        <v>65</v>
      </c>
      <c r="F399" t="s">
        <v>92</v>
      </c>
      <c r="G399">
        <v>2</v>
      </c>
      <c r="H399">
        <v>700</v>
      </c>
      <c r="I399">
        <v>5</v>
      </c>
      <c r="J399" t="s">
        <v>51</v>
      </c>
      <c r="K399" t="s">
        <v>36</v>
      </c>
      <c r="L399">
        <v>1330</v>
      </c>
      <c r="M399" t="s">
        <v>768</v>
      </c>
      <c r="N399">
        <v>4</v>
      </c>
      <c r="O399" s="2">
        <v>46113</v>
      </c>
    </row>
    <row r="400" spans="1:15" x14ac:dyDescent="0.3">
      <c r="A400" t="s">
        <v>348</v>
      </c>
      <c r="B400" s="2">
        <v>46175</v>
      </c>
      <c r="C400" t="s">
        <v>61</v>
      </c>
      <c r="D400" t="s">
        <v>40</v>
      </c>
      <c r="E400" t="s">
        <v>34</v>
      </c>
      <c r="F400" t="s">
        <v>81</v>
      </c>
      <c r="G400">
        <v>2</v>
      </c>
      <c r="H400">
        <v>700</v>
      </c>
      <c r="I400">
        <v>5</v>
      </c>
      <c r="J400" t="s">
        <v>764</v>
      </c>
      <c r="K400" t="s">
        <v>36</v>
      </c>
      <c r="L400">
        <v>1330</v>
      </c>
      <c r="M400" t="s">
        <v>770</v>
      </c>
      <c r="N400">
        <v>6</v>
      </c>
      <c r="O400" s="2">
        <v>46174</v>
      </c>
    </row>
    <row r="401" spans="1:15" x14ac:dyDescent="0.3">
      <c r="A401" t="s">
        <v>633</v>
      </c>
      <c r="B401" s="2">
        <v>46201</v>
      </c>
      <c r="C401" t="s">
        <v>54</v>
      </c>
      <c r="D401" t="s">
        <v>40</v>
      </c>
      <c r="E401" t="s">
        <v>27</v>
      </c>
      <c r="F401" t="s">
        <v>171</v>
      </c>
      <c r="G401">
        <v>3</v>
      </c>
      <c r="H401">
        <v>550</v>
      </c>
      <c r="I401">
        <v>20</v>
      </c>
      <c r="J401" t="s">
        <v>55</v>
      </c>
      <c r="K401" t="s">
        <v>22</v>
      </c>
      <c r="L401">
        <v>1320</v>
      </c>
      <c r="M401" t="s">
        <v>770</v>
      </c>
      <c r="N401">
        <v>6</v>
      </c>
      <c r="O401" s="2">
        <v>46174</v>
      </c>
    </row>
    <row r="402" spans="1:15" x14ac:dyDescent="0.3">
      <c r="A402" t="s">
        <v>169</v>
      </c>
      <c r="B402" s="2">
        <v>46192</v>
      </c>
      <c r="C402" t="s">
        <v>48</v>
      </c>
      <c r="D402" t="s">
        <v>40</v>
      </c>
      <c r="E402" t="s">
        <v>27</v>
      </c>
      <c r="F402" t="s">
        <v>171</v>
      </c>
      <c r="G402">
        <v>3</v>
      </c>
      <c r="H402">
        <v>550</v>
      </c>
      <c r="I402">
        <v>20</v>
      </c>
      <c r="J402" t="s">
        <v>51</v>
      </c>
      <c r="K402" t="s">
        <v>18</v>
      </c>
      <c r="L402">
        <v>1320</v>
      </c>
      <c r="M402" t="s">
        <v>770</v>
      </c>
      <c r="N402">
        <v>6</v>
      </c>
      <c r="O402" s="2">
        <v>46174</v>
      </c>
    </row>
    <row r="403" spans="1:15" x14ac:dyDescent="0.3">
      <c r="A403" t="s">
        <v>652</v>
      </c>
      <c r="B403" s="2">
        <v>46098</v>
      </c>
      <c r="C403" t="s">
        <v>44</v>
      </c>
      <c r="D403" t="s">
        <v>72</v>
      </c>
      <c r="E403" t="s">
        <v>65</v>
      </c>
      <c r="F403" t="s">
        <v>85</v>
      </c>
      <c r="G403">
        <v>2</v>
      </c>
      <c r="H403">
        <v>650</v>
      </c>
      <c r="I403">
        <v>0</v>
      </c>
      <c r="J403" t="s">
        <v>764</v>
      </c>
      <c r="K403" t="s">
        <v>22</v>
      </c>
      <c r="L403">
        <v>1300</v>
      </c>
      <c r="M403" t="s">
        <v>767</v>
      </c>
      <c r="N403">
        <v>3</v>
      </c>
      <c r="O403" s="2">
        <v>46082</v>
      </c>
    </row>
    <row r="404" spans="1:15" x14ac:dyDescent="0.3">
      <c r="A404" t="s">
        <v>723</v>
      </c>
      <c r="B404" s="2">
        <v>46088</v>
      </c>
      <c r="C404" t="s">
        <v>215</v>
      </c>
      <c r="D404" t="s">
        <v>14</v>
      </c>
      <c r="E404" t="s">
        <v>65</v>
      </c>
      <c r="F404" t="s">
        <v>85</v>
      </c>
      <c r="G404">
        <v>2</v>
      </c>
      <c r="H404">
        <v>650</v>
      </c>
      <c r="I404">
        <v>0</v>
      </c>
      <c r="J404" t="s">
        <v>29</v>
      </c>
      <c r="K404" t="s">
        <v>22</v>
      </c>
      <c r="L404">
        <v>1300</v>
      </c>
      <c r="M404" t="s">
        <v>767</v>
      </c>
      <c r="N404">
        <v>3</v>
      </c>
      <c r="O404" s="2">
        <v>46082</v>
      </c>
    </row>
    <row r="405" spans="1:15" x14ac:dyDescent="0.3">
      <c r="A405" t="s">
        <v>212</v>
      </c>
      <c r="B405" s="2">
        <v>46161</v>
      </c>
      <c r="C405" t="s">
        <v>117</v>
      </c>
      <c r="D405" t="s">
        <v>26</v>
      </c>
      <c r="E405" t="s">
        <v>65</v>
      </c>
      <c r="F405" t="s">
        <v>85</v>
      </c>
      <c r="G405">
        <v>2</v>
      </c>
      <c r="H405">
        <v>650</v>
      </c>
      <c r="I405">
        <v>0</v>
      </c>
      <c r="J405" t="s">
        <v>764</v>
      </c>
      <c r="K405" t="s">
        <v>36</v>
      </c>
      <c r="L405">
        <v>1300</v>
      </c>
      <c r="M405" t="s">
        <v>769</v>
      </c>
      <c r="N405">
        <v>5</v>
      </c>
      <c r="O405" s="2">
        <v>46143</v>
      </c>
    </row>
    <row r="406" spans="1:15" x14ac:dyDescent="0.3">
      <c r="A406" t="s">
        <v>632</v>
      </c>
      <c r="B406" s="2">
        <v>46079</v>
      </c>
      <c r="C406" t="s">
        <v>125</v>
      </c>
      <c r="D406" t="s">
        <v>72</v>
      </c>
      <c r="E406" t="s">
        <v>27</v>
      </c>
      <c r="F406" t="s">
        <v>89</v>
      </c>
      <c r="G406">
        <v>3</v>
      </c>
      <c r="H406">
        <v>450</v>
      </c>
      <c r="I406">
        <v>5</v>
      </c>
      <c r="J406" t="s">
        <v>55</v>
      </c>
      <c r="K406" t="s">
        <v>22</v>
      </c>
      <c r="L406">
        <v>1282.5</v>
      </c>
      <c r="M406" t="s">
        <v>765</v>
      </c>
      <c r="N406">
        <v>2</v>
      </c>
      <c r="O406" s="2">
        <v>46054</v>
      </c>
    </row>
    <row r="407" spans="1:15" x14ac:dyDescent="0.3">
      <c r="A407" t="s">
        <v>267</v>
      </c>
      <c r="B407" s="2">
        <v>46067</v>
      </c>
      <c r="C407" t="s">
        <v>196</v>
      </c>
      <c r="D407" t="s">
        <v>72</v>
      </c>
      <c r="E407" t="s">
        <v>27</v>
      </c>
      <c r="F407" t="s">
        <v>89</v>
      </c>
      <c r="G407">
        <v>3</v>
      </c>
      <c r="H407">
        <v>450</v>
      </c>
      <c r="I407">
        <v>5</v>
      </c>
      <c r="J407" t="s">
        <v>766</v>
      </c>
      <c r="K407" t="s">
        <v>18</v>
      </c>
      <c r="L407">
        <v>1282.5</v>
      </c>
      <c r="M407" t="s">
        <v>765</v>
      </c>
      <c r="N407">
        <v>2</v>
      </c>
      <c r="O407" s="2">
        <v>46054</v>
      </c>
    </row>
    <row r="408" spans="1:15" x14ac:dyDescent="0.3">
      <c r="A408" t="s">
        <v>556</v>
      </c>
      <c r="B408" s="2">
        <v>46160</v>
      </c>
      <c r="C408" t="s">
        <v>71</v>
      </c>
      <c r="D408" t="s">
        <v>26</v>
      </c>
      <c r="E408" t="s">
        <v>27</v>
      </c>
      <c r="F408" t="s">
        <v>89</v>
      </c>
      <c r="G408">
        <v>3</v>
      </c>
      <c r="H408">
        <v>450</v>
      </c>
      <c r="I408">
        <v>5</v>
      </c>
      <c r="J408" t="s">
        <v>29</v>
      </c>
      <c r="K408" t="s">
        <v>36</v>
      </c>
      <c r="L408">
        <v>1282.5</v>
      </c>
      <c r="M408" t="s">
        <v>769</v>
      </c>
      <c r="N408">
        <v>5</v>
      </c>
      <c r="O408" s="2">
        <v>46143</v>
      </c>
    </row>
    <row r="409" spans="1:15" x14ac:dyDescent="0.3">
      <c r="A409" t="s">
        <v>361</v>
      </c>
      <c r="B409" s="2">
        <v>46079</v>
      </c>
      <c r="C409" t="s">
        <v>179</v>
      </c>
      <c r="D409" t="s">
        <v>14</v>
      </c>
      <c r="E409" t="s">
        <v>34</v>
      </c>
      <c r="F409" t="s">
        <v>41</v>
      </c>
      <c r="G409">
        <v>1</v>
      </c>
      <c r="H409">
        <v>1600</v>
      </c>
      <c r="I409">
        <v>20</v>
      </c>
      <c r="J409" t="s">
        <v>764</v>
      </c>
      <c r="K409" t="s">
        <v>22</v>
      </c>
      <c r="L409">
        <v>1280</v>
      </c>
      <c r="M409" t="s">
        <v>765</v>
      </c>
      <c r="N409">
        <v>2</v>
      </c>
      <c r="O409" s="2">
        <v>46054</v>
      </c>
    </row>
    <row r="410" spans="1:15" x14ac:dyDescent="0.3">
      <c r="A410" t="s">
        <v>735</v>
      </c>
      <c r="B410" s="2">
        <v>46199</v>
      </c>
      <c r="C410" t="s">
        <v>159</v>
      </c>
      <c r="D410" t="s">
        <v>26</v>
      </c>
      <c r="E410" t="s">
        <v>49</v>
      </c>
      <c r="F410" t="s">
        <v>182</v>
      </c>
      <c r="G410">
        <v>2</v>
      </c>
      <c r="H410">
        <v>800</v>
      </c>
      <c r="I410">
        <v>20</v>
      </c>
      <c r="J410" t="s">
        <v>764</v>
      </c>
      <c r="K410" t="s">
        <v>30</v>
      </c>
      <c r="L410">
        <v>1280</v>
      </c>
      <c r="M410" t="s">
        <v>770</v>
      </c>
      <c r="N410">
        <v>6</v>
      </c>
      <c r="O410" s="2">
        <v>46174</v>
      </c>
    </row>
    <row r="411" spans="1:15" x14ac:dyDescent="0.3">
      <c r="A411" t="s">
        <v>112</v>
      </c>
      <c r="B411" s="2">
        <v>46058</v>
      </c>
      <c r="C411" t="s">
        <v>109</v>
      </c>
      <c r="D411" t="s">
        <v>14</v>
      </c>
      <c r="E411" t="s">
        <v>27</v>
      </c>
      <c r="F411" t="s">
        <v>28</v>
      </c>
      <c r="G411">
        <v>3</v>
      </c>
      <c r="H411">
        <v>500</v>
      </c>
      <c r="I411">
        <v>15</v>
      </c>
      <c r="J411" t="s">
        <v>764</v>
      </c>
      <c r="K411" t="s">
        <v>36</v>
      </c>
      <c r="L411">
        <v>1275</v>
      </c>
      <c r="M411" t="s">
        <v>765</v>
      </c>
      <c r="N411">
        <v>2</v>
      </c>
      <c r="O411" s="2">
        <v>46054</v>
      </c>
    </row>
    <row r="412" spans="1:15" x14ac:dyDescent="0.3">
      <c r="A412" t="s">
        <v>103</v>
      </c>
      <c r="B412" s="2">
        <v>46161</v>
      </c>
      <c r="C412" t="s">
        <v>105</v>
      </c>
      <c r="D412" t="s">
        <v>72</v>
      </c>
      <c r="E412" t="s">
        <v>65</v>
      </c>
      <c r="F412" t="s">
        <v>106</v>
      </c>
      <c r="G412">
        <v>2</v>
      </c>
      <c r="H412">
        <v>750</v>
      </c>
      <c r="I412">
        <v>15</v>
      </c>
      <c r="J412" t="s">
        <v>29</v>
      </c>
      <c r="K412" t="s">
        <v>22</v>
      </c>
      <c r="L412">
        <v>1275</v>
      </c>
      <c r="M412" t="s">
        <v>769</v>
      </c>
      <c r="N412">
        <v>5</v>
      </c>
      <c r="O412" s="2">
        <v>46143</v>
      </c>
    </row>
    <row r="413" spans="1:15" x14ac:dyDescent="0.3">
      <c r="A413" t="s">
        <v>290</v>
      </c>
      <c r="B413" s="2">
        <v>46032</v>
      </c>
      <c r="C413" t="s">
        <v>215</v>
      </c>
      <c r="D413" t="s">
        <v>40</v>
      </c>
      <c r="E413" t="s">
        <v>65</v>
      </c>
      <c r="F413" t="s">
        <v>92</v>
      </c>
      <c r="G413">
        <v>2</v>
      </c>
      <c r="H413">
        <v>700</v>
      </c>
      <c r="I413">
        <v>10</v>
      </c>
      <c r="J413" t="s">
        <v>55</v>
      </c>
      <c r="K413" t="s">
        <v>36</v>
      </c>
      <c r="L413">
        <v>1260</v>
      </c>
      <c r="M413" t="s">
        <v>763</v>
      </c>
      <c r="N413">
        <v>1</v>
      </c>
      <c r="O413" s="2">
        <v>46023</v>
      </c>
    </row>
    <row r="414" spans="1:15" x14ac:dyDescent="0.3">
      <c r="A414" t="s">
        <v>247</v>
      </c>
      <c r="B414" s="2">
        <v>46170</v>
      </c>
      <c r="C414" t="s">
        <v>249</v>
      </c>
      <c r="D414" t="s">
        <v>40</v>
      </c>
      <c r="E414" t="s">
        <v>65</v>
      </c>
      <c r="F414" t="s">
        <v>85</v>
      </c>
      <c r="G414">
        <v>2</v>
      </c>
      <c r="H414">
        <v>650</v>
      </c>
      <c r="I414">
        <v>5</v>
      </c>
      <c r="J414" t="s">
        <v>51</v>
      </c>
      <c r="K414" t="s">
        <v>36</v>
      </c>
      <c r="L414">
        <v>1235</v>
      </c>
      <c r="M414" t="s">
        <v>769</v>
      </c>
      <c r="N414">
        <v>5</v>
      </c>
      <c r="O414" s="2">
        <v>46143</v>
      </c>
    </row>
    <row r="415" spans="1:15" x14ac:dyDescent="0.3">
      <c r="A415" t="s">
        <v>378</v>
      </c>
      <c r="B415" s="2">
        <v>46175</v>
      </c>
      <c r="C415" t="s">
        <v>176</v>
      </c>
      <c r="D415" t="s">
        <v>14</v>
      </c>
      <c r="E415" t="s">
        <v>27</v>
      </c>
      <c r="F415" t="s">
        <v>138</v>
      </c>
      <c r="G415">
        <v>2</v>
      </c>
      <c r="H415">
        <v>650</v>
      </c>
      <c r="I415">
        <v>5</v>
      </c>
      <c r="J415" t="s">
        <v>55</v>
      </c>
      <c r="K415" t="s">
        <v>18</v>
      </c>
      <c r="L415">
        <v>1235</v>
      </c>
      <c r="M415" t="s">
        <v>770</v>
      </c>
      <c r="N415">
        <v>6</v>
      </c>
      <c r="O415" s="2">
        <v>46174</v>
      </c>
    </row>
    <row r="416" spans="1:15" x14ac:dyDescent="0.3">
      <c r="A416" t="s">
        <v>439</v>
      </c>
      <c r="B416" s="2">
        <v>46050</v>
      </c>
      <c r="C416" t="s">
        <v>109</v>
      </c>
      <c r="D416" t="s">
        <v>14</v>
      </c>
      <c r="E416" t="s">
        <v>27</v>
      </c>
      <c r="F416" t="s">
        <v>89</v>
      </c>
      <c r="G416">
        <v>3</v>
      </c>
      <c r="H416">
        <v>450</v>
      </c>
      <c r="I416">
        <v>10</v>
      </c>
      <c r="J416" t="s">
        <v>29</v>
      </c>
      <c r="K416" t="s">
        <v>30</v>
      </c>
      <c r="L416">
        <v>1215</v>
      </c>
      <c r="M416" t="s">
        <v>763</v>
      </c>
      <c r="N416">
        <v>1</v>
      </c>
      <c r="O416" s="2">
        <v>46023</v>
      </c>
    </row>
    <row r="417" spans="1:15" x14ac:dyDescent="0.3">
      <c r="A417" t="s">
        <v>578</v>
      </c>
      <c r="B417" s="2">
        <v>46034</v>
      </c>
      <c r="C417" t="s">
        <v>142</v>
      </c>
      <c r="D417" t="s">
        <v>72</v>
      </c>
      <c r="E417" t="s">
        <v>34</v>
      </c>
      <c r="F417" t="s">
        <v>100</v>
      </c>
      <c r="G417">
        <v>1</v>
      </c>
      <c r="H417">
        <v>1200</v>
      </c>
      <c r="I417">
        <v>0</v>
      </c>
      <c r="J417" t="s">
        <v>55</v>
      </c>
      <c r="K417" t="s">
        <v>18</v>
      </c>
      <c r="L417">
        <v>1200</v>
      </c>
      <c r="M417" t="s">
        <v>763</v>
      </c>
      <c r="N417">
        <v>1</v>
      </c>
      <c r="O417" s="2">
        <v>46023</v>
      </c>
    </row>
    <row r="418" spans="1:15" x14ac:dyDescent="0.3">
      <c r="A418" t="s">
        <v>422</v>
      </c>
      <c r="B418" s="2">
        <v>46111</v>
      </c>
      <c r="C418" t="s">
        <v>105</v>
      </c>
      <c r="D418" t="s">
        <v>14</v>
      </c>
      <c r="E418" t="s">
        <v>65</v>
      </c>
      <c r="F418" t="s">
        <v>92</v>
      </c>
      <c r="G418">
        <v>2</v>
      </c>
      <c r="H418">
        <v>700</v>
      </c>
      <c r="I418">
        <v>15</v>
      </c>
      <c r="J418" t="s">
        <v>764</v>
      </c>
      <c r="K418" t="s">
        <v>36</v>
      </c>
      <c r="L418">
        <v>1190</v>
      </c>
      <c r="M418" t="s">
        <v>767</v>
      </c>
      <c r="N418">
        <v>3</v>
      </c>
      <c r="O418" s="2">
        <v>46082</v>
      </c>
    </row>
    <row r="419" spans="1:15" x14ac:dyDescent="0.3">
      <c r="A419" t="s">
        <v>675</v>
      </c>
      <c r="B419" s="2">
        <v>46079</v>
      </c>
      <c r="C419" t="s">
        <v>249</v>
      </c>
      <c r="D419" t="s">
        <v>14</v>
      </c>
      <c r="E419" t="s">
        <v>27</v>
      </c>
      <c r="F419" t="s">
        <v>138</v>
      </c>
      <c r="G419">
        <v>2</v>
      </c>
      <c r="H419">
        <v>650</v>
      </c>
      <c r="I419">
        <v>10</v>
      </c>
      <c r="J419" t="s">
        <v>29</v>
      </c>
      <c r="K419" t="s">
        <v>36</v>
      </c>
      <c r="L419">
        <v>1170</v>
      </c>
      <c r="M419" t="s">
        <v>765</v>
      </c>
      <c r="N419">
        <v>2</v>
      </c>
      <c r="O419" s="2">
        <v>46054</v>
      </c>
    </row>
    <row r="420" spans="1:15" x14ac:dyDescent="0.3">
      <c r="A420" t="s">
        <v>685</v>
      </c>
      <c r="B420" s="2">
        <v>46098</v>
      </c>
      <c r="C420" t="s">
        <v>142</v>
      </c>
      <c r="D420" t="s">
        <v>72</v>
      </c>
      <c r="E420" t="s">
        <v>27</v>
      </c>
      <c r="F420" t="s">
        <v>138</v>
      </c>
      <c r="G420">
        <v>2</v>
      </c>
      <c r="H420">
        <v>650</v>
      </c>
      <c r="I420">
        <v>10</v>
      </c>
      <c r="J420" t="s">
        <v>55</v>
      </c>
      <c r="K420" t="s">
        <v>30</v>
      </c>
      <c r="L420">
        <v>1170</v>
      </c>
      <c r="M420" t="s">
        <v>767</v>
      </c>
      <c r="N420">
        <v>3</v>
      </c>
      <c r="O420" s="2">
        <v>46082</v>
      </c>
    </row>
    <row r="421" spans="1:15" x14ac:dyDescent="0.3">
      <c r="A421" t="s">
        <v>506</v>
      </c>
      <c r="B421" s="2">
        <v>46143</v>
      </c>
      <c r="C421" t="s">
        <v>33</v>
      </c>
      <c r="D421" t="s">
        <v>26</v>
      </c>
      <c r="E421" t="s">
        <v>65</v>
      </c>
      <c r="F421" t="s">
        <v>85</v>
      </c>
      <c r="G421">
        <v>2</v>
      </c>
      <c r="H421">
        <v>650</v>
      </c>
      <c r="I421">
        <v>10</v>
      </c>
      <c r="J421" t="s">
        <v>51</v>
      </c>
      <c r="K421" t="s">
        <v>18</v>
      </c>
      <c r="L421">
        <v>1170</v>
      </c>
      <c r="M421" t="s">
        <v>769</v>
      </c>
      <c r="N421">
        <v>5</v>
      </c>
      <c r="O421" s="2">
        <v>46143</v>
      </c>
    </row>
    <row r="422" spans="1:15" x14ac:dyDescent="0.3">
      <c r="A422" t="s">
        <v>561</v>
      </c>
      <c r="B422" s="2">
        <v>46148</v>
      </c>
      <c r="C422" t="s">
        <v>122</v>
      </c>
      <c r="D422" t="s">
        <v>14</v>
      </c>
      <c r="E422" t="s">
        <v>27</v>
      </c>
      <c r="F422" t="s">
        <v>138</v>
      </c>
      <c r="G422">
        <v>2</v>
      </c>
      <c r="H422">
        <v>650</v>
      </c>
      <c r="I422">
        <v>10</v>
      </c>
      <c r="J422" t="s">
        <v>29</v>
      </c>
      <c r="K422" t="s">
        <v>36</v>
      </c>
      <c r="L422">
        <v>1170</v>
      </c>
      <c r="M422" t="s">
        <v>769</v>
      </c>
      <c r="N422">
        <v>5</v>
      </c>
      <c r="O422" s="2">
        <v>46143</v>
      </c>
    </row>
    <row r="423" spans="1:15" x14ac:dyDescent="0.3">
      <c r="A423" t="s">
        <v>90</v>
      </c>
      <c r="B423" s="2">
        <v>46065</v>
      </c>
      <c r="C423" t="s">
        <v>39</v>
      </c>
      <c r="D423" t="s">
        <v>72</v>
      </c>
      <c r="E423" t="s">
        <v>65</v>
      </c>
      <c r="F423" t="s">
        <v>92</v>
      </c>
      <c r="G423">
        <v>2</v>
      </c>
      <c r="H423">
        <v>700</v>
      </c>
      <c r="I423">
        <v>20</v>
      </c>
      <c r="J423" t="s">
        <v>766</v>
      </c>
      <c r="K423" t="s">
        <v>30</v>
      </c>
      <c r="L423">
        <v>1120</v>
      </c>
      <c r="M423" t="s">
        <v>765</v>
      </c>
      <c r="N423">
        <v>2</v>
      </c>
      <c r="O423" s="2">
        <v>46054</v>
      </c>
    </row>
    <row r="424" spans="1:15" x14ac:dyDescent="0.3">
      <c r="A424" t="s">
        <v>265</v>
      </c>
      <c r="B424" s="2">
        <v>46087</v>
      </c>
      <c r="C424" t="s">
        <v>220</v>
      </c>
      <c r="D424" t="s">
        <v>40</v>
      </c>
      <c r="E424" t="s">
        <v>34</v>
      </c>
      <c r="F424" t="s">
        <v>81</v>
      </c>
      <c r="G424">
        <v>2</v>
      </c>
      <c r="H424">
        <v>700</v>
      </c>
      <c r="I424">
        <v>20</v>
      </c>
      <c r="J424" t="s">
        <v>764</v>
      </c>
      <c r="K424" t="s">
        <v>30</v>
      </c>
      <c r="L424">
        <v>1120</v>
      </c>
      <c r="M424" t="s">
        <v>767</v>
      </c>
      <c r="N424">
        <v>3</v>
      </c>
      <c r="O424" s="2">
        <v>46082</v>
      </c>
    </row>
    <row r="425" spans="1:15" x14ac:dyDescent="0.3">
      <c r="A425" t="s">
        <v>375</v>
      </c>
      <c r="B425" s="2">
        <v>46119</v>
      </c>
      <c r="C425" t="s">
        <v>249</v>
      </c>
      <c r="D425" t="s">
        <v>26</v>
      </c>
      <c r="E425" t="s">
        <v>34</v>
      </c>
      <c r="F425" t="s">
        <v>81</v>
      </c>
      <c r="G425">
        <v>2</v>
      </c>
      <c r="H425">
        <v>700</v>
      </c>
      <c r="I425">
        <v>20</v>
      </c>
      <c r="J425" t="s">
        <v>764</v>
      </c>
      <c r="K425" t="s">
        <v>18</v>
      </c>
      <c r="L425">
        <v>1120</v>
      </c>
      <c r="M425" t="s">
        <v>768</v>
      </c>
      <c r="N425">
        <v>4</v>
      </c>
      <c r="O425" s="2">
        <v>46113</v>
      </c>
    </row>
    <row r="426" spans="1:15" x14ac:dyDescent="0.3">
      <c r="A426" t="s">
        <v>468</v>
      </c>
      <c r="B426" s="2">
        <v>46195</v>
      </c>
      <c r="C426" t="s">
        <v>33</v>
      </c>
      <c r="D426" t="s">
        <v>766</v>
      </c>
      <c r="E426" t="s">
        <v>34</v>
      </c>
      <c r="F426" t="s">
        <v>81</v>
      </c>
      <c r="G426">
        <v>2</v>
      </c>
      <c r="H426">
        <v>700</v>
      </c>
      <c r="I426">
        <v>20</v>
      </c>
      <c r="J426" t="s">
        <v>29</v>
      </c>
      <c r="K426" t="s">
        <v>18</v>
      </c>
      <c r="L426">
        <v>1120</v>
      </c>
      <c r="M426" t="s">
        <v>770</v>
      </c>
      <c r="N426">
        <v>6</v>
      </c>
      <c r="O426" s="2">
        <v>46174</v>
      </c>
    </row>
    <row r="427" spans="1:15" x14ac:dyDescent="0.3">
      <c r="A427" t="s">
        <v>585</v>
      </c>
      <c r="B427" s="2">
        <v>46135</v>
      </c>
      <c r="C427" t="s">
        <v>54</v>
      </c>
      <c r="D427" t="s">
        <v>14</v>
      </c>
      <c r="E427" t="s">
        <v>27</v>
      </c>
      <c r="F427" t="s">
        <v>138</v>
      </c>
      <c r="G427">
        <v>2</v>
      </c>
      <c r="H427">
        <v>650</v>
      </c>
      <c r="I427">
        <v>15</v>
      </c>
      <c r="J427" t="s">
        <v>29</v>
      </c>
      <c r="K427" t="s">
        <v>22</v>
      </c>
      <c r="L427">
        <v>1105</v>
      </c>
      <c r="M427" t="s">
        <v>768</v>
      </c>
      <c r="N427">
        <v>4</v>
      </c>
      <c r="O427" s="2">
        <v>46113</v>
      </c>
    </row>
    <row r="428" spans="1:15" x14ac:dyDescent="0.3">
      <c r="A428" t="s">
        <v>297</v>
      </c>
      <c r="B428" s="2">
        <v>46150</v>
      </c>
      <c r="C428" t="s">
        <v>84</v>
      </c>
      <c r="D428" t="s">
        <v>14</v>
      </c>
      <c r="E428" t="s">
        <v>27</v>
      </c>
      <c r="F428" t="s">
        <v>138</v>
      </c>
      <c r="G428">
        <v>2</v>
      </c>
      <c r="H428">
        <v>650</v>
      </c>
      <c r="I428">
        <v>15</v>
      </c>
      <c r="J428" t="s">
        <v>51</v>
      </c>
      <c r="K428" t="s">
        <v>18</v>
      </c>
      <c r="L428">
        <v>1105</v>
      </c>
      <c r="M428" t="s">
        <v>769</v>
      </c>
      <c r="N428">
        <v>5</v>
      </c>
      <c r="O428" s="2">
        <v>46143</v>
      </c>
    </row>
    <row r="429" spans="1:15" x14ac:dyDescent="0.3">
      <c r="A429" t="s">
        <v>581</v>
      </c>
      <c r="B429" s="2">
        <v>46203</v>
      </c>
      <c r="C429" t="s">
        <v>142</v>
      </c>
      <c r="D429" t="s">
        <v>40</v>
      </c>
      <c r="E429" t="s">
        <v>65</v>
      </c>
      <c r="F429" t="s">
        <v>85</v>
      </c>
      <c r="G429">
        <v>2</v>
      </c>
      <c r="H429">
        <v>650</v>
      </c>
      <c r="I429">
        <v>15</v>
      </c>
      <c r="J429" t="s">
        <v>764</v>
      </c>
      <c r="K429" t="s">
        <v>22</v>
      </c>
      <c r="L429">
        <v>1105</v>
      </c>
      <c r="M429" t="s">
        <v>770</v>
      </c>
      <c r="N429">
        <v>6</v>
      </c>
      <c r="O429" s="2">
        <v>46174</v>
      </c>
    </row>
    <row r="430" spans="1:15" x14ac:dyDescent="0.3">
      <c r="A430" t="s">
        <v>405</v>
      </c>
      <c r="B430" s="2">
        <v>46190</v>
      </c>
      <c r="C430" t="s">
        <v>179</v>
      </c>
      <c r="D430" t="s">
        <v>26</v>
      </c>
      <c r="E430" t="s">
        <v>34</v>
      </c>
      <c r="F430" t="s">
        <v>100</v>
      </c>
      <c r="G430">
        <v>1</v>
      </c>
      <c r="H430">
        <v>1200</v>
      </c>
      <c r="I430">
        <v>10</v>
      </c>
      <c r="J430" t="s">
        <v>29</v>
      </c>
      <c r="K430" t="s">
        <v>18</v>
      </c>
      <c r="L430">
        <v>1080</v>
      </c>
      <c r="M430" t="s">
        <v>770</v>
      </c>
      <c r="N430">
        <v>6</v>
      </c>
      <c r="O430" s="2">
        <v>46174</v>
      </c>
    </row>
    <row r="431" spans="1:15" x14ac:dyDescent="0.3">
      <c r="A431" t="s">
        <v>469</v>
      </c>
      <c r="B431" s="2">
        <v>46045</v>
      </c>
      <c r="C431" t="s">
        <v>176</v>
      </c>
      <c r="D431" t="s">
        <v>40</v>
      </c>
      <c r="E431" t="s">
        <v>27</v>
      </c>
      <c r="F431" t="s">
        <v>171</v>
      </c>
      <c r="G431">
        <v>2</v>
      </c>
      <c r="H431">
        <v>550</v>
      </c>
      <c r="I431">
        <v>5</v>
      </c>
      <c r="J431" t="s">
        <v>29</v>
      </c>
      <c r="K431" t="s">
        <v>30</v>
      </c>
      <c r="L431">
        <v>1045</v>
      </c>
      <c r="M431" t="s">
        <v>763</v>
      </c>
      <c r="N431">
        <v>1</v>
      </c>
      <c r="O431" s="2">
        <v>46023</v>
      </c>
    </row>
    <row r="432" spans="1:15" x14ac:dyDescent="0.3">
      <c r="A432" t="s">
        <v>376</v>
      </c>
      <c r="B432" s="2">
        <v>46027</v>
      </c>
      <c r="C432" t="s">
        <v>54</v>
      </c>
      <c r="D432" t="s">
        <v>26</v>
      </c>
      <c r="E432" t="s">
        <v>27</v>
      </c>
      <c r="F432" t="s">
        <v>171</v>
      </c>
      <c r="G432">
        <v>2</v>
      </c>
      <c r="H432">
        <v>550</v>
      </c>
      <c r="I432">
        <v>5</v>
      </c>
      <c r="J432" t="s">
        <v>51</v>
      </c>
      <c r="K432" t="s">
        <v>18</v>
      </c>
      <c r="L432">
        <v>1045</v>
      </c>
      <c r="M432" t="s">
        <v>763</v>
      </c>
      <c r="N432">
        <v>1</v>
      </c>
      <c r="O432" s="2">
        <v>46023</v>
      </c>
    </row>
    <row r="433" spans="1:15" x14ac:dyDescent="0.3">
      <c r="A433" t="s">
        <v>731</v>
      </c>
      <c r="B433" s="2">
        <v>46164</v>
      </c>
      <c r="C433" t="s">
        <v>249</v>
      </c>
      <c r="D433" t="s">
        <v>14</v>
      </c>
      <c r="E433" t="s">
        <v>27</v>
      </c>
      <c r="F433" t="s">
        <v>171</v>
      </c>
      <c r="G433">
        <v>2</v>
      </c>
      <c r="H433">
        <v>550</v>
      </c>
      <c r="I433">
        <v>5</v>
      </c>
      <c r="J433" t="s">
        <v>51</v>
      </c>
      <c r="K433" t="s">
        <v>30</v>
      </c>
      <c r="L433">
        <v>1045</v>
      </c>
      <c r="M433" t="s">
        <v>769</v>
      </c>
      <c r="N433">
        <v>5</v>
      </c>
      <c r="O433" s="2">
        <v>46143</v>
      </c>
    </row>
    <row r="434" spans="1:15" x14ac:dyDescent="0.3">
      <c r="A434" t="s">
        <v>608</v>
      </c>
      <c r="B434" s="2">
        <v>46141</v>
      </c>
      <c r="C434" t="s">
        <v>54</v>
      </c>
      <c r="D434" t="s">
        <v>72</v>
      </c>
      <c r="E434" t="s">
        <v>27</v>
      </c>
      <c r="F434" t="s">
        <v>138</v>
      </c>
      <c r="G434">
        <v>2</v>
      </c>
      <c r="H434">
        <v>650</v>
      </c>
      <c r="I434">
        <v>20</v>
      </c>
      <c r="J434" t="s">
        <v>55</v>
      </c>
      <c r="K434" t="s">
        <v>22</v>
      </c>
      <c r="L434">
        <v>1040</v>
      </c>
      <c r="M434" t="s">
        <v>768</v>
      </c>
      <c r="N434">
        <v>4</v>
      </c>
      <c r="O434" s="2">
        <v>46113</v>
      </c>
    </row>
    <row r="435" spans="1:15" x14ac:dyDescent="0.3">
      <c r="A435" t="s">
        <v>516</v>
      </c>
      <c r="B435" s="2">
        <v>46190</v>
      </c>
      <c r="C435" t="s">
        <v>48</v>
      </c>
      <c r="D435" t="s">
        <v>40</v>
      </c>
      <c r="E435" t="s">
        <v>34</v>
      </c>
      <c r="F435" t="s">
        <v>100</v>
      </c>
      <c r="G435">
        <v>1</v>
      </c>
      <c r="H435">
        <v>1200</v>
      </c>
      <c r="I435">
        <v>15</v>
      </c>
      <c r="J435" t="s">
        <v>29</v>
      </c>
      <c r="K435" t="s">
        <v>18</v>
      </c>
      <c r="L435">
        <v>1020</v>
      </c>
      <c r="M435" t="s">
        <v>770</v>
      </c>
      <c r="N435">
        <v>6</v>
      </c>
      <c r="O435" s="2">
        <v>46174</v>
      </c>
    </row>
    <row r="436" spans="1:15" x14ac:dyDescent="0.3">
      <c r="A436" t="s">
        <v>517</v>
      </c>
      <c r="B436" s="2">
        <v>46037</v>
      </c>
      <c r="C436" t="s">
        <v>249</v>
      </c>
      <c r="D436" t="s">
        <v>40</v>
      </c>
      <c r="E436" t="s">
        <v>27</v>
      </c>
      <c r="F436" t="s">
        <v>28</v>
      </c>
      <c r="G436">
        <v>2</v>
      </c>
      <c r="H436">
        <v>500</v>
      </c>
      <c r="I436">
        <v>0</v>
      </c>
      <c r="J436" t="s">
        <v>29</v>
      </c>
      <c r="K436" t="s">
        <v>18</v>
      </c>
      <c r="L436">
        <v>1000</v>
      </c>
      <c r="M436" t="s">
        <v>763</v>
      </c>
      <c r="N436">
        <v>1</v>
      </c>
      <c r="O436" s="2">
        <v>46023</v>
      </c>
    </row>
    <row r="437" spans="1:15" x14ac:dyDescent="0.3">
      <c r="A437" t="s">
        <v>494</v>
      </c>
      <c r="B437" s="2">
        <v>46170</v>
      </c>
      <c r="C437" t="s">
        <v>215</v>
      </c>
      <c r="D437" t="s">
        <v>26</v>
      </c>
      <c r="E437" t="s">
        <v>27</v>
      </c>
      <c r="F437" t="s">
        <v>171</v>
      </c>
      <c r="G437">
        <v>2</v>
      </c>
      <c r="H437">
        <v>550</v>
      </c>
      <c r="I437">
        <v>10</v>
      </c>
      <c r="J437" t="s">
        <v>55</v>
      </c>
      <c r="K437" t="s">
        <v>22</v>
      </c>
      <c r="L437">
        <v>990</v>
      </c>
      <c r="M437" t="s">
        <v>769</v>
      </c>
      <c r="N437">
        <v>5</v>
      </c>
      <c r="O437" s="2">
        <v>46143</v>
      </c>
    </row>
    <row r="438" spans="1:15" x14ac:dyDescent="0.3">
      <c r="A438" t="s">
        <v>501</v>
      </c>
      <c r="B438" s="2">
        <v>46138</v>
      </c>
      <c r="C438" t="s">
        <v>48</v>
      </c>
      <c r="D438" t="s">
        <v>26</v>
      </c>
      <c r="E438" t="s">
        <v>34</v>
      </c>
      <c r="F438" t="s">
        <v>100</v>
      </c>
      <c r="G438">
        <v>1</v>
      </c>
      <c r="H438">
        <v>1200</v>
      </c>
      <c r="I438">
        <v>20</v>
      </c>
      <c r="J438" t="s">
        <v>55</v>
      </c>
      <c r="K438" t="s">
        <v>36</v>
      </c>
      <c r="L438">
        <v>960</v>
      </c>
      <c r="M438" t="s">
        <v>768</v>
      </c>
      <c r="N438">
        <v>4</v>
      </c>
      <c r="O438" s="2">
        <v>46113</v>
      </c>
    </row>
    <row r="439" spans="1:15" x14ac:dyDescent="0.3">
      <c r="A439" t="s">
        <v>670</v>
      </c>
      <c r="B439" s="2">
        <v>46057</v>
      </c>
      <c r="C439" t="s">
        <v>33</v>
      </c>
      <c r="D439" t="s">
        <v>40</v>
      </c>
      <c r="E439" t="s">
        <v>27</v>
      </c>
      <c r="F439" t="s">
        <v>28</v>
      </c>
      <c r="G439">
        <v>2</v>
      </c>
      <c r="H439">
        <v>500</v>
      </c>
      <c r="I439">
        <v>5</v>
      </c>
      <c r="J439" t="s">
        <v>55</v>
      </c>
      <c r="K439" t="s">
        <v>36</v>
      </c>
      <c r="L439">
        <v>950</v>
      </c>
      <c r="M439" t="s">
        <v>765</v>
      </c>
      <c r="N439">
        <v>2</v>
      </c>
      <c r="O439" s="2">
        <v>46054</v>
      </c>
    </row>
    <row r="440" spans="1:15" x14ac:dyDescent="0.3">
      <c r="A440" t="s">
        <v>295</v>
      </c>
      <c r="B440" s="2">
        <v>46167</v>
      </c>
      <c r="C440" t="s">
        <v>154</v>
      </c>
      <c r="D440" t="s">
        <v>14</v>
      </c>
      <c r="E440" t="s">
        <v>27</v>
      </c>
      <c r="F440" t="s">
        <v>28</v>
      </c>
      <c r="G440">
        <v>2</v>
      </c>
      <c r="H440">
        <v>500</v>
      </c>
      <c r="I440">
        <v>5</v>
      </c>
      <c r="J440" t="s">
        <v>764</v>
      </c>
      <c r="K440" t="s">
        <v>18</v>
      </c>
      <c r="L440">
        <v>950</v>
      </c>
      <c r="M440" t="s">
        <v>769</v>
      </c>
      <c r="N440">
        <v>5</v>
      </c>
      <c r="O440" s="2">
        <v>46143</v>
      </c>
    </row>
    <row r="441" spans="1:15" x14ac:dyDescent="0.3">
      <c r="A441" t="s">
        <v>429</v>
      </c>
      <c r="B441" s="2">
        <v>46187</v>
      </c>
      <c r="C441" t="s">
        <v>122</v>
      </c>
      <c r="D441" t="s">
        <v>72</v>
      </c>
      <c r="E441" t="s">
        <v>27</v>
      </c>
      <c r="F441" t="s">
        <v>171</v>
      </c>
      <c r="G441">
        <v>2</v>
      </c>
      <c r="H441">
        <v>550</v>
      </c>
      <c r="I441">
        <v>15</v>
      </c>
      <c r="J441" t="s">
        <v>51</v>
      </c>
      <c r="K441" t="s">
        <v>18</v>
      </c>
      <c r="L441">
        <v>935</v>
      </c>
      <c r="M441" t="s">
        <v>770</v>
      </c>
      <c r="N441">
        <v>6</v>
      </c>
      <c r="O441" s="2">
        <v>46174</v>
      </c>
    </row>
    <row r="442" spans="1:15" x14ac:dyDescent="0.3">
      <c r="A442" t="s">
        <v>603</v>
      </c>
      <c r="B442" s="2">
        <v>46034</v>
      </c>
      <c r="C442" t="s">
        <v>48</v>
      </c>
      <c r="D442" t="s">
        <v>40</v>
      </c>
      <c r="E442" t="s">
        <v>27</v>
      </c>
      <c r="F442" t="s">
        <v>89</v>
      </c>
      <c r="G442">
        <v>2</v>
      </c>
      <c r="H442">
        <v>450</v>
      </c>
      <c r="I442">
        <v>0</v>
      </c>
      <c r="J442" t="s">
        <v>29</v>
      </c>
      <c r="K442" t="s">
        <v>30</v>
      </c>
      <c r="L442">
        <v>900</v>
      </c>
      <c r="M442" t="s">
        <v>763</v>
      </c>
      <c r="N442">
        <v>1</v>
      </c>
      <c r="O442" s="2">
        <v>46023</v>
      </c>
    </row>
    <row r="443" spans="1:15" x14ac:dyDescent="0.3">
      <c r="A443" t="s">
        <v>596</v>
      </c>
      <c r="B443" s="2">
        <v>46102</v>
      </c>
      <c r="C443" t="s">
        <v>133</v>
      </c>
      <c r="D443" t="s">
        <v>72</v>
      </c>
      <c r="E443" t="s">
        <v>27</v>
      </c>
      <c r="F443" t="s">
        <v>89</v>
      </c>
      <c r="G443">
        <v>2</v>
      </c>
      <c r="H443">
        <v>450</v>
      </c>
      <c r="I443">
        <v>0</v>
      </c>
      <c r="J443" t="s">
        <v>55</v>
      </c>
      <c r="K443" t="s">
        <v>36</v>
      </c>
      <c r="L443">
        <v>900</v>
      </c>
      <c r="M443" t="s">
        <v>767</v>
      </c>
      <c r="N443">
        <v>3</v>
      </c>
      <c r="O443" s="2">
        <v>46082</v>
      </c>
    </row>
    <row r="444" spans="1:15" x14ac:dyDescent="0.3">
      <c r="A444" t="s">
        <v>421</v>
      </c>
      <c r="B444" s="2">
        <v>46127</v>
      </c>
      <c r="C444" t="s">
        <v>44</v>
      </c>
      <c r="D444" t="s">
        <v>40</v>
      </c>
      <c r="E444" t="s">
        <v>27</v>
      </c>
      <c r="F444" t="s">
        <v>28</v>
      </c>
      <c r="G444">
        <v>2</v>
      </c>
      <c r="H444">
        <v>500</v>
      </c>
      <c r="I444">
        <v>10</v>
      </c>
      <c r="J444" t="s">
        <v>764</v>
      </c>
      <c r="K444" t="s">
        <v>18</v>
      </c>
      <c r="L444">
        <v>900</v>
      </c>
      <c r="M444" t="s">
        <v>768</v>
      </c>
      <c r="N444">
        <v>4</v>
      </c>
      <c r="O444" s="2">
        <v>46113</v>
      </c>
    </row>
    <row r="445" spans="1:15" x14ac:dyDescent="0.3">
      <c r="A445" t="s">
        <v>492</v>
      </c>
      <c r="B445" s="2">
        <v>46137</v>
      </c>
      <c r="C445" t="s">
        <v>215</v>
      </c>
      <c r="D445" t="s">
        <v>40</v>
      </c>
      <c r="E445" t="s">
        <v>27</v>
      </c>
      <c r="F445" t="s">
        <v>89</v>
      </c>
      <c r="G445">
        <v>2</v>
      </c>
      <c r="H445">
        <v>450</v>
      </c>
      <c r="I445">
        <v>0</v>
      </c>
      <c r="J445" t="s">
        <v>29</v>
      </c>
      <c r="K445" t="s">
        <v>18</v>
      </c>
      <c r="L445">
        <v>900</v>
      </c>
      <c r="M445" t="s">
        <v>768</v>
      </c>
      <c r="N445">
        <v>4</v>
      </c>
      <c r="O445" s="2">
        <v>46113</v>
      </c>
    </row>
    <row r="446" spans="1:15" x14ac:dyDescent="0.3">
      <c r="A446" t="s">
        <v>317</v>
      </c>
      <c r="B446" s="2">
        <v>46071</v>
      </c>
      <c r="C446" t="s">
        <v>142</v>
      </c>
      <c r="D446" t="s">
        <v>72</v>
      </c>
      <c r="E446" t="s">
        <v>65</v>
      </c>
      <c r="F446" t="s">
        <v>96</v>
      </c>
      <c r="G446">
        <v>1</v>
      </c>
      <c r="H446">
        <v>900</v>
      </c>
      <c r="I446">
        <v>5</v>
      </c>
      <c r="J446" t="s">
        <v>764</v>
      </c>
      <c r="K446" t="s">
        <v>36</v>
      </c>
      <c r="L446">
        <v>855</v>
      </c>
      <c r="M446" t="s">
        <v>765</v>
      </c>
      <c r="N446">
        <v>2</v>
      </c>
      <c r="O446" s="2">
        <v>46054</v>
      </c>
    </row>
    <row r="447" spans="1:15" x14ac:dyDescent="0.3">
      <c r="A447" t="s">
        <v>618</v>
      </c>
      <c r="B447" s="2">
        <v>46141</v>
      </c>
      <c r="C447" t="s">
        <v>39</v>
      </c>
      <c r="D447" t="s">
        <v>40</v>
      </c>
      <c r="E447" t="s">
        <v>65</v>
      </c>
      <c r="F447" t="s">
        <v>96</v>
      </c>
      <c r="G447">
        <v>1</v>
      </c>
      <c r="H447">
        <v>900</v>
      </c>
      <c r="I447">
        <v>5</v>
      </c>
      <c r="J447" t="s">
        <v>51</v>
      </c>
      <c r="K447" t="s">
        <v>36</v>
      </c>
      <c r="L447">
        <v>855</v>
      </c>
      <c r="M447" t="s">
        <v>768</v>
      </c>
      <c r="N447">
        <v>4</v>
      </c>
      <c r="O447" s="2">
        <v>46113</v>
      </c>
    </row>
    <row r="448" spans="1:15" x14ac:dyDescent="0.3">
      <c r="A448" t="s">
        <v>93</v>
      </c>
      <c r="B448" s="2">
        <v>46135</v>
      </c>
      <c r="C448" t="s">
        <v>95</v>
      </c>
      <c r="D448" t="s">
        <v>72</v>
      </c>
      <c r="E448" t="s">
        <v>65</v>
      </c>
      <c r="F448" t="s">
        <v>96</v>
      </c>
      <c r="G448">
        <v>1</v>
      </c>
      <c r="H448">
        <v>900</v>
      </c>
      <c r="I448">
        <v>5</v>
      </c>
      <c r="J448" t="s">
        <v>55</v>
      </c>
      <c r="K448" t="s">
        <v>36</v>
      </c>
      <c r="L448">
        <v>855</v>
      </c>
      <c r="M448" t="s">
        <v>768</v>
      </c>
      <c r="N448">
        <v>4</v>
      </c>
      <c r="O448" s="2">
        <v>46113</v>
      </c>
    </row>
    <row r="449" spans="1:15" x14ac:dyDescent="0.3">
      <c r="A449" t="s">
        <v>693</v>
      </c>
      <c r="B449" s="2">
        <v>46158</v>
      </c>
      <c r="C449" t="s">
        <v>21</v>
      </c>
      <c r="D449" t="s">
        <v>40</v>
      </c>
      <c r="E449" t="s">
        <v>15</v>
      </c>
      <c r="F449" t="s">
        <v>78</v>
      </c>
      <c r="G449">
        <v>1</v>
      </c>
      <c r="H449">
        <v>900</v>
      </c>
      <c r="I449">
        <v>5</v>
      </c>
      <c r="J449" t="s">
        <v>55</v>
      </c>
      <c r="K449" t="s">
        <v>30</v>
      </c>
      <c r="L449">
        <v>855</v>
      </c>
      <c r="M449" t="s">
        <v>769</v>
      </c>
      <c r="N449">
        <v>5</v>
      </c>
      <c r="O449" s="2">
        <v>46143</v>
      </c>
    </row>
    <row r="450" spans="1:15" x14ac:dyDescent="0.3">
      <c r="A450" t="s">
        <v>502</v>
      </c>
      <c r="B450" s="2">
        <v>46195</v>
      </c>
      <c r="C450" t="s">
        <v>215</v>
      </c>
      <c r="D450" t="s">
        <v>40</v>
      </c>
      <c r="E450" t="s">
        <v>34</v>
      </c>
      <c r="F450" t="s">
        <v>62</v>
      </c>
      <c r="G450">
        <v>1</v>
      </c>
      <c r="H450">
        <v>900</v>
      </c>
      <c r="I450">
        <v>5</v>
      </c>
      <c r="J450" t="s">
        <v>55</v>
      </c>
      <c r="K450" t="s">
        <v>18</v>
      </c>
      <c r="L450">
        <v>855</v>
      </c>
      <c r="M450" t="s">
        <v>770</v>
      </c>
      <c r="N450">
        <v>6</v>
      </c>
      <c r="O450" s="2">
        <v>46174</v>
      </c>
    </row>
    <row r="451" spans="1:15" x14ac:dyDescent="0.3">
      <c r="A451" t="s">
        <v>465</v>
      </c>
      <c r="B451" s="2">
        <v>46070</v>
      </c>
      <c r="C451" t="s">
        <v>84</v>
      </c>
      <c r="D451" t="s">
        <v>26</v>
      </c>
      <c r="E451" t="s">
        <v>65</v>
      </c>
      <c r="F451" t="s">
        <v>66</v>
      </c>
      <c r="G451">
        <v>1</v>
      </c>
      <c r="H451">
        <v>850</v>
      </c>
      <c r="I451">
        <v>0</v>
      </c>
      <c r="J451" t="s">
        <v>51</v>
      </c>
      <c r="K451" t="s">
        <v>36</v>
      </c>
      <c r="L451">
        <v>850</v>
      </c>
      <c r="M451" t="s">
        <v>765</v>
      </c>
      <c r="N451">
        <v>2</v>
      </c>
      <c r="O451" s="2">
        <v>46054</v>
      </c>
    </row>
    <row r="452" spans="1:15" x14ac:dyDescent="0.3">
      <c r="A452" t="s">
        <v>692</v>
      </c>
      <c r="B452" s="2">
        <v>46132</v>
      </c>
      <c r="C452" t="s">
        <v>196</v>
      </c>
      <c r="D452" t="s">
        <v>72</v>
      </c>
      <c r="E452" t="s">
        <v>65</v>
      </c>
      <c r="F452" t="s">
        <v>66</v>
      </c>
      <c r="G452">
        <v>1</v>
      </c>
      <c r="H452">
        <v>850</v>
      </c>
      <c r="I452">
        <v>0</v>
      </c>
      <c r="J452" t="s">
        <v>55</v>
      </c>
      <c r="K452" t="s">
        <v>30</v>
      </c>
      <c r="L452">
        <v>850</v>
      </c>
      <c r="M452" t="s">
        <v>768</v>
      </c>
      <c r="N452">
        <v>4</v>
      </c>
      <c r="O452" s="2">
        <v>46113</v>
      </c>
    </row>
    <row r="453" spans="1:15" x14ac:dyDescent="0.3">
      <c r="A453" t="s">
        <v>311</v>
      </c>
      <c r="B453" s="2">
        <v>46052</v>
      </c>
      <c r="C453" t="s">
        <v>105</v>
      </c>
      <c r="D453" t="s">
        <v>40</v>
      </c>
      <c r="E453" t="s">
        <v>34</v>
      </c>
      <c r="F453" t="s">
        <v>62</v>
      </c>
      <c r="G453">
        <v>1</v>
      </c>
      <c r="H453">
        <v>900</v>
      </c>
      <c r="I453">
        <v>10</v>
      </c>
      <c r="J453" t="s">
        <v>29</v>
      </c>
      <c r="K453" t="s">
        <v>36</v>
      </c>
      <c r="L453">
        <v>810</v>
      </c>
      <c r="M453" t="s">
        <v>763</v>
      </c>
      <c r="N453">
        <v>1</v>
      </c>
      <c r="O453" s="2">
        <v>46023</v>
      </c>
    </row>
    <row r="454" spans="1:15" x14ac:dyDescent="0.3">
      <c r="A454" t="s">
        <v>550</v>
      </c>
      <c r="B454" s="2">
        <v>46034</v>
      </c>
      <c r="C454" t="s">
        <v>159</v>
      </c>
      <c r="D454" t="s">
        <v>40</v>
      </c>
      <c r="E454" t="s">
        <v>15</v>
      </c>
      <c r="F454" t="s">
        <v>78</v>
      </c>
      <c r="G454">
        <v>1</v>
      </c>
      <c r="H454">
        <v>900</v>
      </c>
      <c r="I454">
        <v>10</v>
      </c>
      <c r="J454" t="s">
        <v>764</v>
      </c>
      <c r="K454" t="s">
        <v>22</v>
      </c>
      <c r="L454">
        <v>810</v>
      </c>
      <c r="M454" t="s">
        <v>763</v>
      </c>
      <c r="N454">
        <v>1</v>
      </c>
      <c r="O454" s="2">
        <v>46023</v>
      </c>
    </row>
    <row r="455" spans="1:15" x14ac:dyDescent="0.3">
      <c r="A455" t="s">
        <v>721</v>
      </c>
      <c r="B455" s="2">
        <v>46052</v>
      </c>
      <c r="C455" t="s">
        <v>142</v>
      </c>
      <c r="D455" t="s">
        <v>14</v>
      </c>
      <c r="E455" t="s">
        <v>34</v>
      </c>
      <c r="F455" t="s">
        <v>62</v>
      </c>
      <c r="G455">
        <v>1</v>
      </c>
      <c r="H455">
        <v>900</v>
      </c>
      <c r="I455">
        <v>10</v>
      </c>
      <c r="J455" t="s">
        <v>51</v>
      </c>
      <c r="K455" t="s">
        <v>30</v>
      </c>
      <c r="L455">
        <v>810</v>
      </c>
      <c r="M455" t="s">
        <v>763</v>
      </c>
      <c r="N455">
        <v>1</v>
      </c>
      <c r="O455" s="2">
        <v>46023</v>
      </c>
    </row>
    <row r="456" spans="1:15" x14ac:dyDescent="0.3">
      <c r="A456" t="s">
        <v>390</v>
      </c>
      <c r="B456" s="2">
        <v>46080</v>
      </c>
      <c r="C456" t="s">
        <v>220</v>
      </c>
      <c r="D456" t="s">
        <v>26</v>
      </c>
      <c r="E456" t="s">
        <v>15</v>
      </c>
      <c r="F456" t="s">
        <v>78</v>
      </c>
      <c r="G456">
        <v>1</v>
      </c>
      <c r="H456">
        <v>900</v>
      </c>
      <c r="I456">
        <v>10</v>
      </c>
      <c r="J456" t="s">
        <v>55</v>
      </c>
      <c r="K456" t="s">
        <v>22</v>
      </c>
      <c r="L456">
        <v>810</v>
      </c>
      <c r="M456" t="s">
        <v>765</v>
      </c>
      <c r="N456">
        <v>2</v>
      </c>
      <c r="O456" s="2">
        <v>46054</v>
      </c>
    </row>
    <row r="457" spans="1:15" x14ac:dyDescent="0.3">
      <c r="A457" t="s">
        <v>152</v>
      </c>
      <c r="B457" s="2">
        <v>46076</v>
      </c>
      <c r="C457" t="s">
        <v>154</v>
      </c>
      <c r="D457" t="s">
        <v>14</v>
      </c>
      <c r="E457" t="s">
        <v>15</v>
      </c>
      <c r="F457" t="s">
        <v>78</v>
      </c>
      <c r="G457">
        <v>1</v>
      </c>
      <c r="H457">
        <v>900</v>
      </c>
      <c r="I457">
        <v>10</v>
      </c>
      <c r="J457" t="s">
        <v>29</v>
      </c>
      <c r="K457" t="s">
        <v>22</v>
      </c>
      <c r="L457">
        <v>810</v>
      </c>
      <c r="M457" t="s">
        <v>765</v>
      </c>
      <c r="N457">
        <v>2</v>
      </c>
      <c r="O457" s="2">
        <v>46054</v>
      </c>
    </row>
    <row r="458" spans="1:15" x14ac:dyDescent="0.3">
      <c r="A458" t="s">
        <v>282</v>
      </c>
      <c r="B458" s="2">
        <v>46110</v>
      </c>
      <c r="C458" t="s">
        <v>84</v>
      </c>
      <c r="D458" t="s">
        <v>26</v>
      </c>
      <c r="E458" t="s">
        <v>34</v>
      </c>
      <c r="F458" t="s">
        <v>62</v>
      </c>
      <c r="G458">
        <v>1</v>
      </c>
      <c r="H458">
        <v>900</v>
      </c>
      <c r="I458">
        <v>10</v>
      </c>
      <c r="J458" t="s">
        <v>51</v>
      </c>
      <c r="K458" t="s">
        <v>18</v>
      </c>
      <c r="L458">
        <v>810</v>
      </c>
      <c r="M458" t="s">
        <v>767</v>
      </c>
      <c r="N458">
        <v>3</v>
      </c>
      <c r="O458" s="2">
        <v>46082</v>
      </c>
    </row>
    <row r="459" spans="1:15" x14ac:dyDescent="0.3">
      <c r="A459" t="s">
        <v>532</v>
      </c>
      <c r="B459" s="2">
        <v>46130</v>
      </c>
      <c r="C459" t="s">
        <v>122</v>
      </c>
      <c r="D459" t="s">
        <v>72</v>
      </c>
      <c r="E459" t="s">
        <v>65</v>
      </c>
      <c r="F459" t="s">
        <v>96</v>
      </c>
      <c r="G459">
        <v>1</v>
      </c>
      <c r="H459">
        <v>900</v>
      </c>
      <c r="I459">
        <v>10</v>
      </c>
      <c r="J459" t="s">
        <v>51</v>
      </c>
      <c r="K459" t="s">
        <v>22</v>
      </c>
      <c r="L459">
        <v>810</v>
      </c>
      <c r="M459" t="s">
        <v>768</v>
      </c>
      <c r="N459">
        <v>4</v>
      </c>
      <c r="O459" s="2">
        <v>46113</v>
      </c>
    </row>
    <row r="460" spans="1:15" x14ac:dyDescent="0.3">
      <c r="A460" t="s">
        <v>76</v>
      </c>
      <c r="B460" s="2">
        <v>46134</v>
      </c>
      <c r="C460" t="s">
        <v>71</v>
      </c>
      <c r="D460" t="s">
        <v>72</v>
      </c>
      <c r="E460" t="s">
        <v>15</v>
      </c>
      <c r="F460" t="s">
        <v>78</v>
      </c>
      <c r="G460">
        <v>1</v>
      </c>
      <c r="H460">
        <v>900</v>
      </c>
      <c r="I460">
        <v>10</v>
      </c>
      <c r="J460" t="s">
        <v>55</v>
      </c>
      <c r="K460" t="s">
        <v>36</v>
      </c>
      <c r="L460">
        <v>810</v>
      </c>
      <c r="M460" t="s">
        <v>768</v>
      </c>
      <c r="N460">
        <v>4</v>
      </c>
      <c r="O460" s="2">
        <v>46113</v>
      </c>
    </row>
    <row r="461" spans="1:15" x14ac:dyDescent="0.3">
      <c r="A461" t="s">
        <v>118</v>
      </c>
      <c r="B461" s="2">
        <v>46077</v>
      </c>
      <c r="C461" t="s">
        <v>48</v>
      </c>
      <c r="D461" t="s">
        <v>72</v>
      </c>
      <c r="E461" t="s">
        <v>65</v>
      </c>
      <c r="F461" t="s">
        <v>66</v>
      </c>
      <c r="G461">
        <v>1</v>
      </c>
      <c r="H461">
        <v>850</v>
      </c>
      <c r="I461">
        <v>5</v>
      </c>
      <c r="J461" t="s">
        <v>29</v>
      </c>
      <c r="K461" t="s">
        <v>36</v>
      </c>
      <c r="L461">
        <v>807.5</v>
      </c>
      <c r="M461" t="s">
        <v>765</v>
      </c>
      <c r="N461">
        <v>2</v>
      </c>
      <c r="O461" s="2">
        <v>46054</v>
      </c>
    </row>
    <row r="462" spans="1:15" x14ac:dyDescent="0.3">
      <c r="A462" t="s">
        <v>709</v>
      </c>
      <c r="B462" s="2">
        <v>46130</v>
      </c>
      <c r="C462" t="s">
        <v>249</v>
      </c>
      <c r="D462" t="s">
        <v>14</v>
      </c>
      <c r="E462" t="s">
        <v>65</v>
      </c>
      <c r="F462" t="s">
        <v>66</v>
      </c>
      <c r="G462">
        <v>1</v>
      </c>
      <c r="H462">
        <v>850</v>
      </c>
      <c r="I462">
        <v>5</v>
      </c>
      <c r="J462" t="s">
        <v>764</v>
      </c>
      <c r="K462" t="s">
        <v>22</v>
      </c>
      <c r="L462">
        <v>807.5</v>
      </c>
      <c r="M462" t="s">
        <v>768</v>
      </c>
      <c r="N462">
        <v>4</v>
      </c>
      <c r="O462" s="2">
        <v>46113</v>
      </c>
    </row>
    <row r="463" spans="1:15" x14ac:dyDescent="0.3">
      <c r="A463" t="s">
        <v>306</v>
      </c>
      <c r="B463" s="2">
        <v>46098</v>
      </c>
      <c r="C463" t="s">
        <v>88</v>
      </c>
      <c r="D463" t="s">
        <v>26</v>
      </c>
      <c r="E463" t="s">
        <v>34</v>
      </c>
      <c r="F463" t="s">
        <v>62</v>
      </c>
      <c r="G463">
        <v>1</v>
      </c>
      <c r="H463">
        <v>900</v>
      </c>
      <c r="I463">
        <v>15</v>
      </c>
      <c r="J463" t="s">
        <v>764</v>
      </c>
      <c r="K463" t="s">
        <v>22</v>
      </c>
      <c r="L463">
        <v>765</v>
      </c>
      <c r="M463" t="s">
        <v>767</v>
      </c>
      <c r="N463">
        <v>3</v>
      </c>
      <c r="O463" s="2">
        <v>46082</v>
      </c>
    </row>
    <row r="464" spans="1:15" x14ac:dyDescent="0.3">
      <c r="A464" t="s">
        <v>315</v>
      </c>
      <c r="B464" s="2">
        <v>46083</v>
      </c>
      <c r="C464" t="s">
        <v>48</v>
      </c>
      <c r="D464" t="s">
        <v>26</v>
      </c>
      <c r="E464" t="s">
        <v>65</v>
      </c>
      <c r="F464" t="s">
        <v>66</v>
      </c>
      <c r="G464">
        <v>1</v>
      </c>
      <c r="H464">
        <v>850</v>
      </c>
      <c r="I464">
        <v>10</v>
      </c>
      <c r="J464" t="s">
        <v>51</v>
      </c>
      <c r="K464" t="s">
        <v>36</v>
      </c>
      <c r="L464">
        <v>765</v>
      </c>
      <c r="M464" t="s">
        <v>767</v>
      </c>
      <c r="N464">
        <v>3</v>
      </c>
      <c r="O464" s="2">
        <v>46082</v>
      </c>
    </row>
    <row r="465" spans="1:15" x14ac:dyDescent="0.3">
      <c r="A465" t="s">
        <v>134</v>
      </c>
      <c r="B465" s="2">
        <v>46103</v>
      </c>
      <c r="C465" t="s">
        <v>84</v>
      </c>
      <c r="D465" t="s">
        <v>40</v>
      </c>
      <c r="E465" t="s">
        <v>34</v>
      </c>
      <c r="F465" t="s">
        <v>62</v>
      </c>
      <c r="G465">
        <v>1</v>
      </c>
      <c r="H465">
        <v>900</v>
      </c>
      <c r="I465">
        <v>15</v>
      </c>
      <c r="J465" t="s">
        <v>764</v>
      </c>
      <c r="K465" t="s">
        <v>36</v>
      </c>
      <c r="L465">
        <v>765</v>
      </c>
      <c r="M465" t="s">
        <v>767</v>
      </c>
      <c r="N465">
        <v>3</v>
      </c>
      <c r="O465" s="2">
        <v>46082</v>
      </c>
    </row>
    <row r="466" spans="1:15" x14ac:dyDescent="0.3">
      <c r="A466" t="s">
        <v>484</v>
      </c>
      <c r="B466" s="2">
        <v>46202</v>
      </c>
      <c r="C466" t="s">
        <v>61</v>
      </c>
      <c r="D466" t="s">
        <v>40</v>
      </c>
      <c r="E466" t="s">
        <v>65</v>
      </c>
      <c r="F466" t="s">
        <v>96</v>
      </c>
      <c r="G466">
        <v>1</v>
      </c>
      <c r="H466">
        <v>900</v>
      </c>
      <c r="I466">
        <v>15</v>
      </c>
      <c r="J466" t="s">
        <v>764</v>
      </c>
      <c r="K466" t="s">
        <v>30</v>
      </c>
      <c r="L466">
        <v>765</v>
      </c>
      <c r="M466" t="s">
        <v>770</v>
      </c>
      <c r="N466">
        <v>6</v>
      </c>
      <c r="O466" s="2">
        <v>46174</v>
      </c>
    </row>
    <row r="467" spans="1:15" x14ac:dyDescent="0.3">
      <c r="A467" t="s">
        <v>180</v>
      </c>
      <c r="B467" s="2">
        <v>46095</v>
      </c>
      <c r="C467" t="s">
        <v>166</v>
      </c>
      <c r="D467" t="s">
        <v>26</v>
      </c>
      <c r="E467" t="s">
        <v>49</v>
      </c>
      <c r="F467" t="s">
        <v>182</v>
      </c>
      <c r="G467">
        <v>1</v>
      </c>
      <c r="H467">
        <v>800</v>
      </c>
      <c r="I467">
        <v>5</v>
      </c>
      <c r="J467" t="s">
        <v>51</v>
      </c>
      <c r="K467" t="s">
        <v>22</v>
      </c>
      <c r="L467">
        <v>760</v>
      </c>
      <c r="M467" t="s">
        <v>767</v>
      </c>
      <c r="N467">
        <v>3</v>
      </c>
      <c r="O467" s="2">
        <v>46082</v>
      </c>
    </row>
    <row r="468" spans="1:15" x14ac:dyDescent="0.3">
      <c r="A468" t="s">
        <v>644</v>
      </c>
      <c r="B468" s="2">
        <v>46112</v>
      </c>
      <c r="C468" t="s">
        <v>99</v>
      </c>
      <c r="D468" t="s">
        <v>72</v>
      </c>
      <c r="E468" t="s">
        <v>65</v>
      </c>
      <c r="F468" t="s">
        <v>66</v>
      </c>
      <c r="G468">
        <v>1</v>
      </c>
      <c r="H468">
        <v>850</v>
      </c>
      <c r="I468">
        <v>15</v>
      </c>
      <c r="J468" t="s">
        <v>55</v>
      </c>
      <c r="K468" t="s">
        <v>22</v>
      </c>
      <c r="L468">
        <v>722.5</v>
      </c>
      <c r="M468" t="s">
        <v>767</v>
      </c>
      <c r="N468">
        <v>3</v>
      </c>
      <c r="O468" s="2">
        <v>46082</v>
      </c>
    </row>
    <row r="469" spans="1:15" x14ac:dyDescent="0.3">
      <c r="A469" t="s">
        <v>697</v>
      </c>
      <c r="B469" s="2">
        <v>46173</v>
      </c>
      <c r="C469" t="s">
        <v>166</v>
      </c>
      <c r="D469" t="s">
        <v>14</v>
      </c>
      <c r="E469" t="s">
        <v>49</v>
      </c>
      <c r="F469" t="s">
        <v>182</v>
      </c>
      <c r="G469">
        <v>1</v>
      </c>
      <c r="H469">
        <v>800</v>
      </c>
      <c r="I469">
        <v>10</v>
      </c>
      <c r="J469" t="s">
        <v>764</v>
      </c>
      <c r="K469" t="s">
        <v>18</v>
      </c>
      <c r="L469">
        <v>720</v>
      </c>
      <c r="M469" t="s">
        <v>769</v>
      </c>
      <c r="N469">
        <v>5</v>
      </c>
      <c r="O469" s="2">
        <v>46143</v>
      </c>
    </row>
    <row r="470" spans="1:15" x14ac:dyDescent="0.3">
      <c r="A470" t="s">
        <v>715</v>
      </c>
      <c r="B470" s="2">
        <v>46165</v>
      </c>
      <c r="C470" t="s">
        <v>95</v>
      </c>
      <c r="D470" t="s">
        <v>40</v>
      </c>
      <c r="E470" t="s">
        <v>65</v>
      </c>
      <c r="F470" t="s">
        <v>106</v>
      </c>
      <c r="G470">
        <v>1</v>
      </c>
      <c r="H470">
        <v>750</v>
      </c>
      <c r="I470">
        <v>5</v>
      </c>
      <c r="J470" t="s">
        <v>29</v>
      </c>
      <c r="K470" t="s">
        <v>18</v>
      </c>
      <c r="L470">
        <v>712.5</v>
      </c>
      <c r="M470" t="s">
        <v>769</v>
      </c>
      <c r="N470">
        <v>5</v>
      </c>
      <c r="O470" s="2">
        <v>46143</v>
      </c>
    </row>
    <row r="471" spans="1:15" x14ac:dyDescent="0.3">
      <c r="A471" t="s">
        <v>634</v>
      </c>
      <c r="B471" s="2">
        <v>46102</v>
      </c>
      <c r="C471" t="s">
        <v>71</v>
      </c>
      <c r="D471" t="s">
        <v>72</v>
      </c>
      <c r="E471" t="s">
        <v>65</v>
      </c>
      <c r="F471" t="s">
        <v>92</v>
      </c>
      <c r="G471">
        <v>1</v>
      </c>
      <c r="H471">
        <v>700</v>
      </c>
      <c r="I471">
        <v>0</v>
      </c>
      <c r="J471" t="s">
        <v>764</v>
      </c>
      <c r="K471" t="s">
        <v>22</v>
      </c>
      <c r="L471">
        <v>700</v>
      </c>
      <c r="M471" t="s">
        <v>767</v>
      </c>
      <c r="N471">
        <v>3</v>
      </c>
      <c r="O471" s="2">
        <v>46082</v>
      </c>
    </row>
    <row r="472" spans="1:15" x14ac:dyDescent="0.3">
      <c r="A472" t="s">
        <v>147</v>
      </c>
      <c r="B472" s="2">
        <v>46203</v>
      </c>
      <c r="C472" t="s">
        <v>109</v>
      </c>
      <c r="D472" t="s">
        <v>40</v>
      </c>
      <c r="E472" t="s">
        <v>65</v>
      </c>
      <c r="F472" t="s">
        <v>92</v>
      </c>
      <c r="G472">
        <v>1</v>
      </c>
      <c r="H472">
        <v>700</v>
      </c>
      <c r="I472">
        <v>0</v>
      </c>
      <c r="J472" t="s">
        <v>55</v>
      </c>
      <c r="K472" t="s">
        <v>36</v>
      </c>
      <c r="L472">
        <v>700</v>
      </c>
      <c r="M472" t="s">
        <v>770</v>
      </c>
      <c r="N472">
        <v>6</v>
      </c>
      <c r="O472" s="2">
        <v>46174</v>
      </c>
    </row>
    <row r="473" spans="1:15" x14ac:dyDescent="0.3">
      <c r="A473" t="s">
        <v>698</v>
      </c>
      <c r="B473" s="2">
        <v>46182</v>
      </c>
      <c r="C473" t="s">
        <v>117</v>
      </c>
      <c r="D473" t="s">
        <v>40</v>
      </c>
      <c r="E473" t="s">
        <v>34</v>
      </c>
      <c r="F473" t="s">
        <v>81</v>
      </c>
      <c r="G473">
        <v>1</v>
      </c>
      <c r="H473">
        <v>700</v>
      </c>
      <c r="I473">
        <v>0</v>
      </c>
      <c r="J473" t="s">
        <v>764</v>
      </c>
      <c r="K473" t="s">
        <v>36</v>
      </c>
      <c r="L473">
        <v>700</v>
      </c>
      <c r="M473" t="s">
        <v>770</v>
      </c>
      <c r="N473">
        <v>6</v>
      </c>
      <c r="O473" s="2">
        <v>46174</v>
      </c>
    </row>
    <row r="474" spans="1:15" x14ac:dyDescent="0.3">
      <c r="A474" t="s">
        <v>564</v>
      </c>
      <c r="B474" s="2">
        <v>46136</v>
      </c>
      <c r="C474" t="s">
        <v>196</v>
      </c>
      <c r="D474" t="s">
        <v>14</v>
      </c>
      <c r="E474" t="s">
        <v>65</v>
      </c>
      <c r="F474" t="s">
        <v>66</v>
      </c>
      <c r="G474">
        <v>1</v>
      </c>
      <c r="H474">
        <v>850</v>
      </c>
      <c r="I474">
        <v>20</v>
      </c>
      <c r="J474" t="s">
        <v>764</v>
      </c>
      <c r="K474" t="s">
        <v>22</v>
      </c>
      <c r="L474">
        <v>680</v>
      </c>
      <c r="M474" t="s">
        <v>768</v>
      </c>
      <c r="N474">
        <v>4</v>
      </c>
      <c r="O474" s="2">
        <v>46113</v>
      </c>
    </row>
    <row r="475" spans="1:15" x14ac:dyDescent="0.3">
      <c r="A475" t="s">
        <v>277</v>
      </c>
      <c r="B475" s="2">
        <v>46026</v>
      </c>
      <c r="C475" t="s">
        <v>99</v>
      </c>
      <c r="D475" t="s">
        <v>72</v>
      </c>
      <c r="E475" t="s">
        <v>34</v>
      </c>
      <c r="F475" t="s">
        <v>81</v>
      </c>
      <c r="G475">
        <v>1</v>
      </c>
      <c r="H475">
        <v>700</v>
      </c>
      <c r="I475">
        <v>5</v>
      </c>
      <c r="J475" t="s">
        <v>764</v>
      </c>
      <c r="K475" t="s">
        <v>18</v>
      </c>
      <c r="L475">
        <v>665</v>
      </c>
      <c r="M475" t="s">
        <v>763</v>
      </c>
      <c r="N475">
        <v>1</v>
      </c>
      <c r="O475" s="2">
        <v>46023</v>
      </c>
    </row>
    <row r="476" spans="1:15" x14ac:dyDescent="0.3">
      <c r="A476" t="s">
        <v>115</v>
      </c>
      <c r="B476" s="2">
        <v>46048</v>
      </c>
      <c r="C476" t="s">
        <v>117</v>
      </c>
      <c r="D476" t="s">
        <v>40</v>
      </c>
      <c r="E476" t="s">
        <v>65</v>
      </c>
      <c r="F476" t="s">
        <v>92</v>
      </c>
      <c r="G476">
        <v>1</v>
      </c>
      <c r="H476">
        <v>700</v>
      </c>
      <c r="I476">
        <v>5</v>
      </c>
      <c r="J476" t="s">
        <v>55</v>
      </c>
      <c r="K476" t="s">
        <v>18</v>
      </c>
      <c r="L476">
        <v>665</v>
      </c>
      <c r="M476" t="s">
        <v>763</v>
      </c>
      <c r="N476">
        <v>1</v>
      </c>
      <c r="O476" s="2">
        <v>46023</v>
      </c>
    </row>
    <row r="477" spans="1:15" x14ac:dyDescent="0.3">
      <c r="A477" t="s">
        <v>533</v>
      </c>
      <c r="B477" s="2">
        <v>46180</v>
      </c>
      <c r="C477" t="s">
        <v>21</v>
      </c>
      <c r="D477" t="s">
        <v>72</v>
      </c>
      <c r="E477" t="s">
        <v>65</v>
      </c>
      <c r="F477" t="s">
        <v>92</v>
      </c>
      <c r="G477">
        <v>1</v>
      </c>
      <c r="H477">
        <v>700</v>
      </c>
      <c r="I477">
        <v>5</v>
      </c>
      <c r="J477" t="s">
        <v>51</v>
      </c>
      <c r="K477" t="s">
        <v>36</v>
      </c>
      <c r="L477">
        <v>665</v>
      </c>
      <c r="M477" t="s">
        <v>770</v>
      </c>
      <c r="N477">
        <v>6</v>
      </c>
      <c r="O477" s="2">
        <v>46174</v>
      </c>
    </row>
    <row r="478" spans="1:15" x14ac:dyDescent="0.3">
      <c r="A478" t="s">
        <v>276</v>
      </c>
      <c r="B478" s="2">
        <v>46096</v>
      </c>
      <c r="C478" t="s">
        <v>25</v>
      </c>
      <c r="D478" t="s">
        <v>72</v>
      </c>
      <c r="E478" t="s">
        <v>27</v>
      </c>
      <c r="F478" t="s">
        <v>138</v>
      </c>
      <c r="G478">
        <v>1</v>
      </c>
      <c r="H478">
        <v>650</v>
      </c>
      <c r="I478">
        <v>0</v>
      </c>
      <c r="J478" t="s">
        <v>55</v>
      </c>
      <c r="K478" t="s">
        <v>22</v>
      </c>
      <c r="L478">
        <v>650</v>
      </c>
      <c r="M478" t="s">
        <v>767</v>
      </c>
      <c r="N478">
        <v>3</v>
      </c>
      <c r="O478" s="2">
        <v>46082</v>
      </c>
    </row>
    <row r="479" spans="1:15" x14ac:dyDescent="0.3">
      <c r="A479" t="s">
        <v>582</v>
      </c>
      <c r="B479" s="2">
        <v>46155</v>
      </c>
      <c r="C479" t="s">
        <v>154</v>
      </c>
      <c r="D479" t="s">
        <v>72</v>
      </c>
      <c r="E479" t="s">
        <v>27</v>
      </c>
      <c r="F479" t="s">
        <v>138</v>
      </c>
      <c r="G479">
        <v>1</v>
      </c>
      <c r="H479">
        <v>650</v>
      </c>
      <c r="I479">
        <v>0</v>
      </c>
      <c r="J479" t="s">
        <v>51</v>
      </c>
      <c r="K479" t="s">
        <v>36</v>
      </c>
      <c r="L479">
        <v>650</v>
      </c>
      <c r="M479" t="s">
        <v>769</v>
      </c>
      <c r="N479">
        <v>5</v>
      </c>
      <c r="O479" s="2">
        <v>46143</v>
      </c>
    </row>
    <row r="480" spans="1:15" x14ac:dyDescent="0.3">
      <c r="A480" t="s">
        <v>540</v>
      </c>
      <c r="B480" s="2">
        <v>46135</v>
      </c>
      <c r="C480" t="s">
        <v>159</v>
      </c>
      <c r="D480" t="s">
        <v>26</v>
      </c>
      <c r="E480" t="s">
        <v>65</v>
      </c>
      <c r="F480" t="s">
        <v>106</v>
      </c>
      <c r="G480">
        <v>1</v>
      </c>
      <c r="H480">
        <v>750</v>
      </c>
      <c r="I480">
        <v>15</v>
      </c>
      <c r="J480" t="s">
        <v>29</v>
      </c>
      <c r="K480" t="s">
        <v>22</v>
      </c>
      <c r="L480">
        <v>637.5</v>
      </c>
      <c r="M480" t="s">
        <v>768</v>
      </c>
      <c r="N480">
        <v>4</v>
      </c>
      <c r="O480" s="2">
        <v>46113</v>
      </c>
    </row>
    <row r="481" spans="1:15" x14ac:dyDescent="0.3">
      <c r="A481" t="s">
        <v>621</v>
      </c>
      <c r="B481" s="2">
        <v>46058</v>
      </c>
      <c r="C481" t="s">
        <v>142</v>
      </c>
      <c r="D481" t="s">
        <v>40</v>
      </c>
      <c r="E481" t="s">
        <v>65</v>
      </c>
      <c r="F481" t="s">
        <v>85</v>
      </c>
      <c r="G481">
        <v>1</v>
      </c>
      <c r="H481">
        <v>650</v>
      </c>
      <c r="I481">
        <v>5</v>
      </c>
      <c r="J481" t="s">
        <v>55</v>
      </c>
      <c r="K481" t="s">
        <v>22</v>
      </c>
      <c r="L481">
        <v>617.5</v>
      </c>
      <c r="M481" t="s">
        <v>765</v>
      </c>
      <c r="N481">
        <v>2</v>
      </c>
      <c r="O481" s="2">
        <v>46054</v>
      </c>
    </row>
    <row r="482" spans="1:15" x14ac:dyDescent="0.3">
      <c r="A482" t="s">
        <v>725</v>
      </c>
      <c r="B482" s="2">
        <v>46109</v>
      </c>
      <c r="C482" t="s">
        <v>142</v>
      </c>
      <c r="D482" t="s">
        <v>72</v>
      </c>
      <c r="E482" t="s">
        <v>65</v>
      </c>
      <c r="F482" t="s">
        <v>106</v>
      </c>
      <c r="G482">
        <v>1</v>
      </c>
      <c r="H482">
        <v>750</v>
      </c>
      <c r="I482">
        <v>20</v>
      </c>
      <c r="J482" t="s">
        <v>764</v>
      </c>
      <c r="K482" t="s">
        <v>18</v>
      </c>
      <c r="L482">
        <v>600</v>
      </c>
      <c r="M482" t="s">
        <v>767</v>
      </c>
      <c r="N482">
        <v>3</v>
      </c>
      <c r="O482" s="2">
        <v>46082</v>
      </c>
    </row>
    <row r="483" spans="1:15" x14ac:dyDescent="0.3">
      <c r="A483" t="s">
        <v>635</v>
      </c>
      <c r="B483" s="2">
        <v>46028</v>
      </c>
      <c r="C483" t="s">
        <v>166</v>
      </c>
      <c r="D483" t="s">
        <v>72</v>
      </c>
      <c r="E483" t="s">
        <v>27</v>
      </c>
      <c r="F483" t="s">
        <v>138</v>
      </c>
      <c r="G483">
        <v>1</v>
      </c>
      <c r="H483">
        <v>650</v>
      </c>
      <c r="I483">
        <v>10</v>
      </c>
      <c r="J483" t="s">
        <v>55</v>
      </c>
      <c r="K483" t="s">
        <v>22</v>
      </c>
      <c r="L483">
        <v>585</v>
      </c>
      <c r="M483" t="s">
        <v>763</v>
      </c>
      <c r="N483">
        <v>1</v>
      </c>
      <c r="O483" s="2">
        <v>46023</v>
      </c>
    </row>
    <row r="484" spans="1:15" x14ac:dyDescent="0.3">
      <c r="A484" t="s">
        <v>488</v>
      </c>
      <c r="B484" s="2">
        <v>46080</v>
      </c>
      <c r="C484" t="s">
        <v>44</v>
      </c>
      <c r="D484" t="s">
        <v>40</v>
      </c>
      <c r="E484" t="s">
        <v>27</v>
      </c>
      <c r="F484" t="s">
        <v>138</v>
      </c>
      <c r="G484">
        <v>1</v>
      </c>
      <c r="H484">
        <v>650</v>
      </c>
      <c r="I484">
        <v>10</v>
      </c>
      <c r="J484" t="s">
        <v>29</v>
      </c>
      <c r="K484" t="s">
        <v>18</v>
      </c>
      <c r="L484">
        <v>585</v>
      </c>
      <c r="M484" t="s">
        <v>765</v>
      </c>
      <c r="N484">
        <v>2</v>
      </c>
      <c r="O484" s="2">
        <v>46054</v>
      </c>
    </row>
    <row r="485" spans="1:15" x14ac:dyDescent="0.3">
      <c r="A485" t="s">
        <v>358</v>
      </c>
      <c r="B485" s="2">
        <v>46134</v>
      </c>
      <c r="C485" t="s">
        <v>220</v>
      </c>
      <c r="D485" t="s">
        <v>72</v>
      </c>
      <c r="E485" t="s">
        <v>65</v>
      </c>
      <c r="F485" t="s">
        <v>85</v>
      </c>
      <c r="G485">
        <v>1</v>
      </c>
      <c r="H485">
        <v>650</v>
      </c>
      <c r="I485">
        <v>10</v>
      </c>
      <c r="J485" t="s">
        <v>29</v>
      </c>
      <c r="K485" t="s">
        <v>18</v>
      </c>
      <c r="L485">
        <v>585</v>
      </c>
      <c r="M485" t="s">
        <v>768</v>
      </c>
      <c r="N485">
        <v>4</v>
      </c>
      <c r="O485" s="2">
        <v>46113</v>
      </c>
    </row>
    <row r="486" spans="1:15" x14ac:dyDescent="0.3">
      <c r="A486" t="s">
        <v>419</v>
      </c>
      <c r="B486" s="2">
        <v>46179</v>
      </c>
      <c r="C486" t="s">
        <v>95</v>
      </c>
      <c r="D486" t="s">
        <v>40</v>
      </c>
      <c r="E486" t="s">
        <v>27</v>
      </c>
      <c r="F486" t="s">
        <v>138</v>
      </c>
      <c r="G486">
        <v>1</v>
      </c>
      <c r="H486">
        <v>650</v>
      </c>
      <c r="I486">
        <v>10</v>
      </c>
      <c r="J486" t="s">
        <v>29</v>
      </c>
      <c r="K486" t="s">
        <v>18</v>
      </c>
      <c r="L486">
        <v>585</v>
      </c>
      <c r="M486" t="s">
        <v>770</v>
      </c>
      <c r="N486">
        <v>6</v>
      </c>
      <c r="O486" s="2">
        <v>46174</v>
      </c>
    </row>
    <row r="487" spans="1:15" x14ac:dyDescent="0.3">
      <c r="A487" t="s">
        <v>223</v>
      </c>
      <c r="B487" s="2">
        <v>46132</v>
      </c>
      <c r="C487" t="s">
        <v>154</v>
      </c>
      <c r="D487" t="s">
        <v>26</v>
      </c>
      <c r="E487" t="s">
        <v>34</v>
      </c>
      <c r="F487" t="s">
        <v>81</v>
      </c>
      <c r="G487">
        <v>1</v>
      </c>
      <c r="H487">
        <v>700</v>
      </c>
      <c r="I487">
        <v>20</v>
      </c>
      <c r="J487" t="s">
        <v>51</v>
      </c>
      <c r="K487" t="s">
        <v>36</v>
      </c>
      <c r="L487">
        <v>560</v>
      </c>
      <c r="M487" t="s">
        <v>768</v>
      </c>
      <c r="N487">
        <v>4</v>
      </c>
      <c r="O487" s="2">
        <v>46113</v>
      </c>
    </row>
    <row r="488" spans="1:15" x14ac:dyDescent="0.3">
      <c r="A488" t="s">
        <v>726</v>
      </c>
      <c r="B488" s="2">
        <v>46152</v>
      </c>
      <c r="C488" t="s">
        <v>105</v>
      </c>
      <c r="D488" t="s">
        <v>72</v>
      </c>
      <c r="E488" t="s">
        <v>65</v>
      </c>
      <c r="F488" t="s">
        <v>92</v>
      </c>
      <c r="G488">
        <v>1</v>
      </c>
      <c r="H488">
        <v>700</v>
      </c>
      <c r="I488">
        <v>20</v>
      </c>
      <c r="J488" t="s">
        <v>764</v>
      </c>
      <c r="K488" t="s">
        <v>18</v>
      </c>
      <c r="L488">
        <v>560</v>
      </c>
      <c r="M488" t="s">
        <v>769</v>
      </c>
      <c r="N488">
        <v>5</v>
      </c>
      <c r="O488" s="2">
        <v>46143</v>
      </c>
    </row>
    <row r="489" spans="1:15" x14ac:dyDescent="0.3">
      <c r="A489" t="s">
        <v>324</v>
      </c>
      <c r="B489" s="2">
        <v>46027</v>
      </c>
      <c r="C489" t="s">
        <v>71</v>
      </c>
      <c r="D489" t="s">
        <v>26</v>
      </c>
      <c r="E489" t="s">
        <v>27</v>
      </c>
      <c r="F489" t="s">
        <v>171</v>
      </c>
      <c r="G489">
        <v>1</v>
      </c>
      <c r="H489">
        <v>550</v>
      </c>
      <c r="I489">
        <v>5</v>
      </c>
      <c r="J489" t="s">
        <v>29</v>
      </c>
      <c r="K489" t="s">
        <v>36</v>
      </c>
      <c r="L489">
        <v>522.5</v>
      </c>
      <c r="M489" t="s">
        <v>763</v>
      </c>
      <c r="N489">
        <v>1</v>
      </c>
      <c r="O489" s="2">
        <v>46023</v>
      </c>
    </row>
    <row r="490" spans="1:15" x14ac:dyDescent="0.3">
      <c r="A490" t="s">
        <v>631</v>
      </c>
      <c r="B490" s="2">
        <v>46172</v>
      </c>
      <c r="C490" t="s">
        <v>13</v>
      </c>
      <c r="D490" t="s">
        <v>14</v>
      </c>
      <c r="E490" t="s">
        <v>27</v>
      </c>
      <c r="F490" t="s">
        <v>171</v>
      </c>
      <c r="G490">
        <v>1</v>
      </c>
      <c r="H490">
        <v>550</v>
      </c>
      <c r="I490">
        <v>5</v>
      </c>
      <c r="J490" t="s">
        <v>55</v>
      </c>
      <c r="K490" t="s">
        <v>30</v>
      </c>
      <c r="L490">
        <v>522.5</v>
      </c>
      <c r="M490" t="s">
        <v>769</v>
      </c>
      <c r="N490">
        <v>5</v>
      </c>
      <c r="O490" s="2">
        <v>46143</v>
      </c>
    </row>
    <row r="491" spans="1:15" x14ac:dyDescent="0.3">
      <c r="A491" t="s">
        <v>713</v>
      </c>
      <c r="B491" s="2">
        <v>46039</v>
      </c>
      <c r="C491" t="s">
        <v>39</v>
      </c>
      <c r="D491" t="s">
        <v>26</v>
      </c>
      <c r="E491" t="s">
        <v>65</v>
      </c>
      <c r="F491" t="s">
        <v>85</v>
      </c>
      <c r="G491">
        <v>1</v>
      </c>
      <c r="H491">
        <v>650</v>
      </c>
      <c r="I491">
        <v>20</v>
      </c>
      <c r="J491" t="s">
        <v>55</v>
      </c>
      <c r="K491" t="s">
        <v>30</v>
      </c>
      <c r="L491">
        <v>520</v>
      </c>
      <c r="M491" t="s">
        <v>763</v>
      </c>
      <c r="N491">
        <v>1</v>
      </c>
      <c r="O491" s="2">
        <v>46023</v>
      </c>
    </row>
    <row r="492" spans="1:15" x14ac:dyDescent="0.3">
      <c r="A492" t="s">
        <v>719</v>
      </c>
      <c r="B492" s="2">
        <v>46165</v>
      </c>
      <c r="C492" t="s">
        <v>99</v>
      </c>
      <c r="D492" t="s">
        <v>40</v>
      </c>
      <c r="E492" t="s">
        <v>65</v>
      </c>
      <c r="F492" t="s">
        <v>85</v>
      </c>
      <c r="G492">
        <v>1</v>
      </c>
      <c r="H492">
        <v>650</v>
      </c>
      <c r="I492">
        <v>20</v>
      </c>
      <c r="J492" t="s">
        <v>51</v>
      </c>
      <c r="K492" t="s">
        <v>22</v>
      </c>
      <c r="L492">
        <v>520</v>
      </c>
      <c r="M492" t="s">
        <v>769</v>
      </c>
      <c r="N492">
        <v>5</v>
      </c>
      <c r="O492" s="2">
        <v>46143</v>
      </c>
    </row>
    <row r="493" spans="1:15" x14ac:dyDescent="0.3">
      <c r="A493" t="s">
        <v>525</v>
      </c>
      <c r="B493" s="2">
        <v>46086</v>
      </c>
      <c r="C493" t="s">
        <v>133</v>
      </c>
      <c r="D493" t="s">
        <v>40</v>
      </c>
      <c r="E493" t="s">
        <v>27</v>
      </c>
      <c r="F493" t="s">
        <v>171</v>
      </c>
      <c r="G493">
        <v>1</v>
      </c>
      <c r="H493">
        <v>550</v>
      </c>
      <c r="I493">
        <v>10</v>
      </c>
      <c r="J493" t="s">
        <v>55</v>
      </c>
      <c r="K493" t="s">
        <v>18</v>
      </c>
      <c r="L493">
        <v>495</v>
      </c>
      <c r="M493" t="s">
        <v>767</v>
      </c>
      <c r="N493">
        <v>3</v>
      </c>
      <c r="O493" s="2">
        <v>46082</v>
      </c>
    </row>
    <row r="494" spans="1:15" x14ac:dyDescent="0.3">
      <c r="A494" t="s">
        <v>23</v>
      </c>
      <c r="B494" s="2">
        <v>46079</v>
      </c>
      <c r="C494" t="s">
        <v>25</v>
      </c>
      <c r="D494" t="s">
        <v>26</v>
      </c>
      <c r="E494" t="s">
        <v>27</v>
      </c>
      <c r="F494" t="s">
        <v>28</v>
      </c>
      <c r="G494">
        <v>1</v>
      </c>
      <c r="H494">
        <v>500</v>
      </c>
      <c r="I494">
        <v>5</v>
      </c>
      <c r="J494" t="s">
        <v>29</v>
      </c>
      <c r="K494" t="s">
        <v>30</v>
      </c>
      <c r="L494">
        <v>475</v>
      </c>
      <c r="M494" t="s">
        <v>765</v>
      </c>
      <c r="N494">
        <v>2</v>
      </c>
      <c r="O494" s="2">
        <v>46054</v>
      </c>
    </row>
    <row r="495" spans="1:15" x14ac:dyDescent="0.3">
      <c r="A495" t="s">
        <v>672</v>
      </c>
      <c r="B495" s="2">
        <v>46185</v>
      </c>
      <c r="C495" t="s">
        <v>84</v>
      </c>
      <c r="D495" t="s">
        <v>40</v>
      </c>
      <c r="E495" t="s">
        <v>27</v>
      </c>
      <c r="F495" t="s">
        <v>28</v>
      </c>
      <c r="G495">
        <v>1</v>
      </c>
      <c r="H495">
        <v>500</v>
      </c>
      <c r="I495">
        <v>5</v>
      </c>
      <c r="J495" t="s">
        <v>51</v>
      </c>
      <c r="K495" t="s">
        <v>18</v>
      </c>
      <c r="L495">
        <v>475</v>
      </c>
      <c r="M495" t="s">
        <v>770</v>
      </c>
      <c r="N495">
        <v>6</v>
      </c>
      <c r="O495" s="2">
        <v>46174</v>
      </c>
    </row>
    <row r="496" spans="1:15" x14ac:dyDescent="0.3">
      <c r="A496" t="s">
        <v>717</v>
      </c>
      <c r="B496" s="2">
        <v>46126</v>
      </c>
      <c r="C496" t="s">
        <v>44</v>
      </c>
      <c r="D496" t="s">
        <v>14</v>
      </c>
      <c r="E496" t="s">
        <v>27</v>
      </c>
      <c r="F496" t="s">
        <v>28</v>
      </c>
      <c r="G496">
        <v>1</v>
      </c>
      <c r="H496">
        <v>500</v>
      </c>
      <c r="I496">
        <v>15</v>
      </c>
      <c r="J496" t="s">
        <v>29</v>
      </c>
      <c r="K496" t="s">
        <v>18</v>
      </c>
      <c r="L496">
        <v>425</v>
      </c>
      <c r="M496" t="s">
        <v>768</v>
      </c>
      <c r="N496">
        <v>4</v>
      </c>
      <c r="O496" s="2">
        <v>46113</v>
      </c>
    </row>
    <row r="497" spans="1:15" x14ac:dyDescent="0.3">
      <c r="A497" t="s">
        <v>681</v>
      </c>
      <c r="B497" s="2">
        <v>46192</v>
      </c>
      <c r="C497" t="s">
        <v>179</v>
      </c>
      <c r="D497" t="s">
        <v>14</v>
      </c>
      <c r="E497" t="s">
        <v>27</v>
      </c>
      <c r="F497" t="s">
        <v>28</v>
      </c>
      <c r="G497">
        <v>1</v>
      </c>
      <c r="H497">
        <v>500</v>
      </c>
      <c r="I497">
        <v>15</v>
      </c>
      <c r="J497" t="s">
        <v>51</v>
      </c>
      <c r="K497" t="s">
        <v>30</v>
      </c>
      <c r="L497">
        <v>425</v>
      </c>
      <c r="M497" t="s">
        <v>770</v>
      </c>
      <c r="N497">
        <v>6</v>
      </c>
      <c r="O497" s="2">
        <v>46174</v>
      </c>
    </row>
    <row r="498" spans="1:15" x14ac:dyDescent="0.3">
      <c r="A498" t="s">
        <v>656</v>
      </c>
      <c r="B498" s="2">
        <v>46061</v>
      </c>
      <c r="C498" t="s">
        <v>33</v>
      </c>
      <c r="D498" t="s">
        <v>40</v>
      </c>
      <c r="E498" t="s">
        <v>27</v>
      </c>
      <c r="F498" t="s">
        <v>89</v>
      </c>
      <c r="G498">
        <v>1</v>
      </c>
      <c r="H498">
        <v>450</v>
      </c>
      <c r="I498">
        <v>10</v>
      </c>
      <c r="J498" t="s">
        <v>29</v>
      </c>
      <c r="K498" t="s">
        <v>22</v>
      </c>
      <c r="L498">
        <v>405</v>
      </c>
      <c r="M498" t="s">
        <v>765</v>
      </c>
      <c r="N498">
        <v>2</v>
      </c>
      <c r="O498" s="2">
        <v>46054</v>
      </c>
    </row>
    <row r="499" spans="1:15" x14ac:dyDescent="0.3">
      <c r="A499" t="s">
        <v>449</v>
      </c>
      <c r="B499" s="2">
        <v>46090</v>
      </c>
      <c r="C499" t="s">
        <v>249</v>
      </c>
      <c r="D499" t="s">
        <v>14</v>
      </c>
      <c r="E499" t="s">
        <v>27</v>
      </c>
      <c r="F499" t="s">
        <v>28</v>
      </c>
      <c r="G499">
        <v>1</v>
      </c>
      <c r="H499">
        <v>500</v>
      </c>
      <c r="I499">
        <v>20</v>
      </c>
      <c r="J499" t="s">
        <v>29</v>
      </c>
      <c r="K499" t="s">
        <v>22</v>
      </c>
      <c r="L499">
        <v>400</v>
      </c>
      <c r="M499" t="s">
        <v>767</v>
      </c>
      <c r="N499">
        <v>3</v>
      </c>
      <c r="O499" s="2">
        <v>46082</v>
      </c>
    </row>
    <row r="500" spans="1:15" x14ac:dyDescent="0.3">
      <c r="A500" t="s">
        <v>74</v>
      </c>
      <c r="B500" s="2">
        <v>46158</v>
      </c>
      <c r="C500" t="s">
        <v>39</v>
      </c>
      <c r="D500" t="s">
        <v>40</v>
      </c>
      <c r="E500" t="s">
        <v>27</v>
      </c>
      <c r="F500" t="s">
        <v>28</v>
      </c>
      <c r="G500">
        <v>1</v>
      </c>
      <c r="H500">
        <v>500</v>
      </c>
      <c r="I500">
        <v>20</v>
      </c>
      <c r="J500" t="s">
        <v>51</v>
      </c>
      <c r="K500" t="s">
        <v>30</v>
      </c>
      <c r="L500">
        <v>400</v>
      </c>
      <c r="M500" t="s">
        <v>769</v>
      </c>
      <c r="N500">
        <v>5</v>
      </c>
      <c r="O500" s="2">
        <v>46143</v>
      </c>
    </row>
    <row r="501" spans="1:15" x14ac:dyDescent="0.3">
      <c r="A501" t="s">
        <v>86</v>
      </c>
      <c r="B501" s="2">
        <v>46044</v>
      </c>
      <c r="C501" t="s">
        <v>88</v>
      </c>
      <c r="D501" t="s">
        <v>72</v>
      </c>
      <c r="E501" t="s">
        <v>27</v>
      </c>
      <c r="F501" t="s">
        <v>89</v>
      </c>
      <c r="G501">
        <v>1</v>
      </c>
      <c r="H501">
        <v>450</v>
      </c>
      <c r="I501">
        <v>20</v>
      </c>
      <c r="J501" t="s">
        <v>55</v>
      </c>
      <c r="K501" t="s">
        <v>22</v>
      </c>
      <c r="L501">
        <v>360</v>
      </c>
      <c r="M501" t="s">
        <v>763</v>
      </c>
      <c r="N501">
        <v>1</v>
      </c>
      <c r="O501" s="2">
        <v>46023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9"/>
  <sheetViews>
    <sheetView workbookViewId="0">
      <selection activeCell="O13" sqref="O13"/>
    </sheetView>
  </sheetViews>
  <sheetFormatPr defaultRowHeight="14.4" x14ac:dyDescent="0.3"/>
  <cols>
    <col min="1" max="1" width="9.88671875" customWidth="1"/>
    <col min="2" max="2" width="12" customWidth="1"/>
    <col min="3" max="3" width="11" customWidth="1"/>
    <col min="5" max="5" width="10.44140625" customWidth="1"/>
    <col min="6" max="6" width="9.5546875" customWidth="1"/>
    <col min="7" max="7" width="10.21875" customWidth="1"/>
    <col min="8" max="8" width="11" customWidth="1"/>
    <col min="9" max="9" width="10.21875" customWidth="1"/>
    <col min="10" max="10" width="15.88671875" customWidth="1"/>
    <col min="11" max="11" width="13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</v>
      </c>
      <c r="H2">
        <v>1500</v>
      </c>
      <c r="I2">
        <v>0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>
        <v>5</v>
      </c>
      <c r="H3">
        <v>1500</v>
      </c>
      <c r="I3">
        <v>20</v>
      </c>
      <c r="J3" t="s">
        <v>17</v>
      </c>
      <c r="K3" t="s">
        <v>22</v>
      </c>
    </row>
    <row r="4" spans="1:11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1</v>
      </c>
      <c r="H4">
        <v>500</v>
      </c>
      <c r="I4">
        <v>5</v>
      </c>
      <c r="J4" t="s">
        <v>29</v>
      </c>
      <c r="K4" t="s">
        <v>30</v>
      </c>
    </row>
    <row r="5" spans="1:11" x14ac:dyDescent="0.3">
      <c r="A5" t="s">
        <v>31</v>
      </c>
      <c r="B5" t="s">
        <v>32</v>
      </c>
      <c r="C5" t="s">
        <v>33</v>
      </c>
      <c r="D5" t="s">
        <v>26</v>
      </c>
      <c r="E5" t="s">
        <v>34</v>
      </c>
      <c r="F5" t="s">
        <v>35</v>
      </c>
      <c r="G5">
        <v>1</v>
      </c>
      <c r="H5">
        <v>3500</v>
      </c>
      <c r="I5">
        <v>0</v>
      </c>
      <c r="J5" t="s">
        <v>29</v>
      </c>
      <c r="K5" t="s">
        <v>36</v>
      </c>
    </row>
    <row r="6" spans="1:11" x14ac:dyDescent="0.3">
      <c r="A6" t="s">
        <v>37</v>
      </c>
      <c r="B6" t="s">
        <v>38</v>
      </c>
      <c r="C6" t="s">
        <v>39</v>
      </c>
      <c r="D6" t="s">
        <v>40</v>
      </c>
      <c r="E6" t="s">
        <v>34</v>
      </c>
      <c r="F6" t="s">
        <v>41</v>
      </c>
      <c r="G6">
        <v>4</v>
      </c>
      <c r="H6">
        <v>1600</v>
      </c>
      <c r="I6">
        <v>20</v>
      </c>
      <c r="J6" t="s">
        <v>17</v>
      </c>
      <c r="K6" t="s">
        <v>18</v>
      </c>
    </row>
    <row r="7" spans="1:11" x14ac:dyDescent="0.3">
      <c r="A7" t="s">
        <v>42</v>
      </c>
      <c r="B7" t="s">
        <v>43</v>
      </c>
      <c r="C7" t="s">
        <v>44</v>
      </c>
      <c r="D7" t="s">
        <v>26</v>
      </c>
      <c r="E7" t="s">
        <v>15</v>
      </c>
      <c r="F7" t="s">
        <v>45</v>
      </c>
      <c r="G7">
        <v>5</v>
      </c>
      <c r="H7">
        <v>4500</v>
      </c>
      <c r="I7">
        <v>5</v>
      </c>
      <c r="J7" t="s">
        <v>17</v>
      </c>
      <c r="K7" t="s">
        <v>36</v>
      </c>
    </row>
    <row r="8" spans="1:11" x14ac:dyDescent="0.3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>
        <v>1</v>
      </c>
      <c r="H8">
        <v>2200</v>
      </c>
      <c r="I8">
        <v>15</v>
      </c>
      <c r="J8" t="s">
        <v>51</v>
      </c>
      <c r="K8" t="s">
        <v>18</v>
      </c>
    </row>
    <row r="9" spans="1:11" x14ac:dyDescent="0.3">
      <c r="A9" t="s">
        <v>52</v>
      </c>
      <c r="B9" t="s">
        <v>53</v>
      </c>
      <c r="C9" t="s">
        <v>54</v>
      </c>
      <c r="D9" t="s">
        <v>14</v>
      </c>
      <c r="E9" t="s">
        <v>34</v>
      </c>
      <c r="F9" t="s">
        <v>35</v>
      </c>
      <c r="G9">
        <v>3</v>
      </c>
      <c r="H9">
        <v>3500</v>
      </c>
      <c r="I9">
        <v>0</v>
      </c>
      <c r="J9" t="s">
        <v>55</v>
      </c>
      <c r="K9" t="s">
        <v>22</v>
      </c>
    </row>
    <row r="10" spans="1:11" x14ac:dyDescent="0.3">
      <c r="A10" t="s">
        <v>56</v>
      </c>
      <c r="B10" t="s">
        <v>57</v>
      </c>
      <c r="C10" t="s">
        <v>39</v>
      </c>
      <c r="D10" t="s">
        <v>14</v>
      </c>
      <c r="E10" t="s">
        <v>49</v>
      </c>
      <c r="F10" t="s">
        <v>58</v>
      </c>
      <c r="G10">
        <v>3</v>
      </c>
      <c r="H10">
        <v>3200</v>
      </c>
      <c r="I10">
        <v>0</v>
      </c>
      <c r="J10" t="s">
        <v>55</v>
      </c>
      <c r="K10" t="s">
        <v>36</v>
      </c>
    </row>
    <row r="11" spans="1:11" x14ac:dyDescent="0.3">
      <c r="A11" t="s">
        <v>59</v>
      </c>
      <c r="B11" t="s">
        <v>60</v>
      </c>
      <c r="C11" t="s">
        <v>61</v>
      </c>
      <c r="D11" t="s">
        <v>14</v>
      </c>
      <c r="E11" t="s">
        <v>34</v>
      </c>
      <c r="F11" t="s">
        <v>62</v>
      </c>
      <c r="G11">
        <v>5</v>
      </c>
      <c r="H11">
        <v>900</v>
      </c>
      <c r="I11">
        <v>10</v>
      </c>
      <c r="J11" t="s">
        <v>55</v>
      </c>
      <c r="K11" t="s">
        <v>18</v>
      </c>
    </row>
    <row r="12" spans="1:11" x14ac:dyDescent="0.3">
      <c r="A12" t="s">
        <v>63</v>
      </c>
      <c r="B12" t="s">
        <v>64</v>
      </c>
      <c r="C12" t="s">
        <v>39</v>
      </c>
      <c r="D12" t="s">
        <v>14</v>
      </c>
      <c r="E12" t="s">
        <v>65</v>
      </c>
      <c r="F12" t="s">
        <v>66</v>
      </c>
      <c r="G12">
        <v>2</v>
      </c>
      <c r="H12">
        <v>850</v>
      </c>
      <c r="I12">
        <v>20</v>
      </c>
      <c r="J12" t="s">
        <v>51</v>
      </c>
      <c r="K12" t="s">
        <v>18</v>
      </c>
    </row>
    <row r="13" spans="1:11" x14ac:dyDescent="0.3">
      <c r="A13" t="s">
        <v>67</v>
      </c>
      <c r="B13" t="s">
        <v>68</v>
      </c>
      <c r="C13" t="s">
        <v>13</v>
      </c>
      <c r="D13" t="s">
        <v>14</v>
      </c>
      <c r="E13" t="s">
        <v>27</v>
      </c>
      <c r="F13" t="s">
        <v>28</v>
      </c>
      <c r="G13">
        <v>5</v>
      </c>
      <c r="H13">
        <v>500</v>
      </c>
      <c r="I13">
        <v>15</v>
      </c>
      <c r="J13" t="s">
        <v>17</v>
      </c>
      <c r="K13" t="s">
        <v>36</v>
      </c>
    </row>
    <row r="14" spans="1:11" x14ac:dyDescent="0.3">
      <c r="A14" t="s">
        <v>69</v>
      </c>
      <c r="B14" t="s">
        <v>70</v>
      </c>
      <c r="C14" t="s">
        <v>71</v>
      </c>
      <c r="D14" t="s">
        <v>72</v>
      </c>
      <c r="E14" t="s">
        <v>15</v>
      </c>
      <c r="F14" t="s">
        <v>73</v>
      </c>
      <c r="G14">
        <v>5</v>
      </c>
      <c r="H14">
        <v>2200</v>
      </c>
      <c r="I14">
        <v>0</v>
      </c>
      <c r="J14" t="s">
        <v>29</v>
      </c>
      <c r="K14" t="s">
        <v>18</v>
      </c>
    </row>
    <row r="15" spans="1:11" x14ac:dyDescent="0.3">
      <c r="A15" t="s">
        <v>74</v>
      </c>
      <c r="B15" t="s">
        <v>75</v>
      </c>
      <c r="C15" t="s">
        <v>39</v>
      </c>
      <c r="D15" t="s">
        <v>40</v>
      </c>
      <c r="E15" t="s">
        <v>27</v>
      </c>
      <c r="F15" t="s">
        <v>28</v>
      </c>
      <c r="G15">
        <v>1</v>
      </c>
      <c r="H15">
        <v>500</v>
      </c>
      <c r="I15">
        <v>20</v>
      </c>
      <c r="J15" t="s">
        <v>51</v>
      </c>
      <c r="K15" t="s">
        <v>30</v>
      </c>
    </row>
    <row r="16" spans="1:11" x14ac:dyDescent="0.3">
      <c r="A16" t="s">
        <v>76</v>
      </c>
      <c r="B16" t="s">
        <v>77</v>
      </c>
      <c r="C16" t="s">
        <v>71</v>
      </c>
      <c r="D16" t="s">
        <v>72</v>
      </c>
      <c r="E16" t="s">
        <v>15</v>
      </c>
      <c r="F16" t="s">
        <v>78</v>
      </c>
      <c r="G16">
        <v>1</v>
      </c>
      <c r="H16">
        <v>900</v>
      </c>
      <c r="I16">
        <v>10</v>
      </c>
      <c r="J16" t="s">
        <v>55</v>
      </c>
      <c r="K16" t="s">
        <v>36</v>
      </c>
    </row>
    <row r="17" spans="1:11" x14ac:dyDescent="0.3">
      <c r="A17" t="s">
        <v>79</v>
      </c>
      <c r="B17" t="s">
        <v>80</v>
      </c>
      <c r="C17" t="s">
        <v>21</v>
      </c>
      <c r="D17" t="s">
        <v>14</v>
      </c>
      <c r="E17" t="s">
        <v>34</v>
      </c>
      <c r="F17" t="s">
        <v>81</v>
      </c>
      <c r="G17">
        <v>3</v>
      </c>
      <c r="H17">
        <v>700</v>
      </c>
      <c r="I17">
        <v>5</v>
      </c>
      <c r="J17" t="s">
        <v>17</v>
      </c>
      <c r="K17" t="s">
        <v>30</v>
      </c>
    </row>
    <row r="18" spans="1:11" x14ac:dyDescent="0.3">
      <c r="A18" t="s">
        <v>82</v>
      </c>
      <c r="B18" t="s">
        <v>83</v>
      </c>
      <c r="C18" t="s">
        <v>84</v>
      </c>
      <c r="D18" t="s">
        <v>26</v>
      </c>
      <c r="E18" t="s">
        <v>65</v>
      </c>
      <c r="F18" t="s">
        <v>85</v>
      </c>
      <c r="G18">
        <v>3</v>
      </c>
      <c r="H18">
        <v>650</v>
      </c>
      <c r="I18">
        <v>5</v>
      </c>
      <c r="J18" t="s">
        <v>17</v>
      </c>
      <c r="K18" t="s">
        <v>22</v>
      </c>
    </row>
    <row r="19" spans="1:11" x14ac:dyDescent="0.3">
      <c r="A19" t="s">
        <v>86</v>
      </c>
      <c r="B19" t="s">
        <v>87</v>
      </c>
      <c r="C19" t="s">
        <v>88</v>
      </c>
      <c r="D19" t="s">
        <v>72</v>
      </c>
      <c r="E19" t="s">
        <v>27</v>
      </c>
      <c r="F19" t="s">
        <v>89</v>
      </c>
      <c r="G19">
        <v>1</v>
      </c>
      <c r="H19">
        <v>450</v>
      </c>
      <c r="I19">
        <v>20</v>
      </c>
      <c r="J19" t="s">
        <v>55</v>
      </c>
      <c r="K19" t="s">
        <v>22</v>
      </c>
    </row>
    <row r="20" spans="1:11" x14ac:dyDescent="0.3">
      <c r="A20" t="s">
        <v>90</v>
      </c>
      <c r="B20" t="s">
        <v>91</v>
      </c>
      <c r="C20" t="s">
        <v>39</v>
      </c>
      <c r="D20" t="s">
        <v>72</v>
      </c>
      <c r="E20" t="s">
        <v>65</v>
      </c>
      <c r="F20" t="s">
        <v>92</v>
      </c>
      <c r="G20">
        <v>2</v>
      </c>
      <c r="H20">
        <v>700</v>
      </c>
      <c r="I20">
        <v>20</v>
      </c>
      <c r="K20" t="s">
        <v>30</v>
      </c>
    </row>
    <row r="21" spans="1:11" x14ac:dyDescent="0.3">
      <c r="A21" t="s">
        <v>93</v>
      </c>
      <c r="B21" t="s">
        <v>94</v>
      </c>
      <c r="C21" t="s">
        <v>95</v>
      </c>
      <c r="D21" t="s">
        <v>72</v>
      </c>
      <c r="E21" t="s">
        <v>65</v>
      </c>
      <c r="F21" t="s">
        <v>96</v>
      </c>
      <c r="G21">
        <v>1</v>
      </c>
      <c r="H21">
        <v>900</v>
      </c>
      <c r="I21">
        <v>5</v>
      </c>
      <c r="J21" t="s">
        <v>55</v>
      </c>
      <c r="K21" t="s">
        <v>36</v>
      </c>
    </row>
    <row r="22" spans="1:11" x14ac:dyDescent="0.3">
      <c r="A22" t="s">
        <v>97</v>
      </c>
      <c r="B22" t="s">
        <v>98</v>
      </c>
      <c r="C22" t="s">
        <v>99</v>
      </c>
      <c r="D22" t="s">
        <v>14</v>
      </c>
      <c r="E22" t="s">
        <v>34</v>
      </c>
      <c r="F22" t="s">
        <v>100</v>
      </c>
      <c r="G22">
        <v>5</v>
      </c>
      <c r="H22">
        <v>1200</v>
      </c>
      <c r="I22">
        <v>5</v>
      </c>
      <c r="J22" t="s">
        <v>17</v>
      </c>
      <c r="K22" t="s">
        <v>36</v>
      </c>
    </row>
    <row r="23" spans="1:11" x14ac:dyDescent="0.3">
      <c r="A23" t="s">
        <v>101</v>
      </c>
      <c r="B23" t="s">
        <v>102</v>
      </c>
      <c r="C23" t="s">
        <v>95</v>
      </c>
      <c r="D23" t="s">
        <v>40</v>
      </c>
      <c r="E23" t="s">
        <v>15</v>
      </c>
      <c r="F23" t="s">
        <v>73</v>
      </c>
      <c r="G23">
        <v>3</v>
      </c>
      <c r="H23">
        <v>2200</v>
      </c>
      <c r="I23">
        <v>0</v>
      </c>
      <c r="J23" t="s">
        <v>55</v>
      </c>
      <c r="K23" t="s">
        <v>30</v>
      </c>
    </row>
    <row r="24" spans="1:11" x14ac:dyDescent="0.3">
      <c r="A24" t="s">
        <v>103</v>
      </c>
      <c r="B24" t="s">
        <v>104</v>
      </c>
      <c r="C24" t="s">
        <v>105</v>
      </c>
      <c r="D24" t="s">
        <v>72</v>
      </c>
      <c r="E24" t="s">
        <v>65</v>
      </c>
      <c r="F24" t="s">
        <v>106</v>
      </c>
      <c r="G24">
        <v>2</v>
      </c>
      <c r="H24">
        <v>750</v>
      </c>
      <c r="I24">
        <v>15</v>
      </c>
      <c r="J24" t="s">
        <v>29</v>
      </c>
      <c r="K24" t="s">
        <v>22</v>
      </c>
    </row>
    <row r="25" spans="1:11" x14ac:dyDescent="0.3">
      <c r="A25" t="s">
        <v>107</v>
      </c>
      <c r="B25" t="s">
        <v>108</v>
      </c>
      <c r="C25" t="s">
        <v>109</v>
      </c>
      <c r="D25" t="s">
        <v>26</v>
      </c>
      <c r="E25" t="s">
        <v>15</v>
      </c>
      <c r="F25" t="s">
        <v>16</v>
      </c>
      <c r="G25">
        <v>4</v>
      </c>
      <c r="H25">
        <v>1500</v>
      </c>
      <c r="I25">
        <v>15</v>
      </c>
      <c r="J25" t="s">
        <v>29</v>
      </c>
      <c r="K25" t="s">
        <v>36</v>
      </c>
    </row>
    <row r="26" spans="1:11" x14ac:dyDescent="0.3">
      <c r="A26" t="s">
        <v>110</v>
      </c>
      <c r="B26" t="s">
        <v>111</v>
      </c>
      <c r="C26" t="s">
        <v>88</v>
      </c>
      <c r="D26" t="s">
        <v>26</v>
      </c>
      <c r="E26" t="s">
        <v>15</v>
      </c>
      <c r="F26" t="s">
        <v>16</v>
      </c>
      <c r="G26">
        <v>1</v>
      </c>
      <c r="H26">
        <v>1500</v>
      </c>
      <c r="I26">
        <v>5</v>
      </c>
      <c r="J26" t="s">
        <v>55</v>
      </c>
      <c r="K26" t="s">
        <v>22</v>
      </c>
    </row>
    <row r="27" spans="1:11" x14ac:dyDescent="0.3">
      <c r="A27" t="s">
        <v>112</v>
      </c>
      <c r="B27" t="s">
        <v>113</v>
      </c>
      <c r="C27" t="s">
        <v>109</v>
      </c>
      <c r="D27" t="s">
        <v>14</v>
      </c>
      <c r="E27" t="s">
        <v>27</v>
      </c>
      <c r="F27" t="s">
        <v>28</v>
      </c>
      <c r="G27">
        <v>3</v>
      </c>
      <c r="H27">
        <v>500</v>
      </c>
      <c r="I27">
        <v>15</v>
      </c>
      <c r="J27" t="s">
        <v>114</v>
      </c>
      <c r="K27" t="s">
        <v>36</v>
      </c>
    </row>
    <row r="28" spans="1:11" x14ac:dyDescent="0.3">
      <c r="A28" t="s">
        <v>115</v>
      </c>
      <c r="B28" t="s">
        <v>116</v>
      </c>
      <c r="C28" t="s">
        <v>117</v>
      </c>
      <c r="D28" t="s">
        <v>40</v>
      </c>
      <c r="E28" t="s">
        <v>65</v>
      </c>
      <c r="F28" t="s">
        <v>92</v>
      </c>
      <c r="G28">
        <v>1</v>
      </c>
      <c r="H28">
        <v>700</v>
      </c>
      <c r="I28">
        <v>5</v>
      </c>
      <c r="J28" t="s">
        <v>55</v>
      </c>
      <c r="K28" t="s">
        <v>18</v>
      </c>
    </row>
    <row r="29" spans="1:11" x14ac:dyDescent="0.3">
      <c r="A29" t="s">
        <v>118</v>
      </c>
      <c r="B29" t="s">
        <v>119</v>
      </c>
      <c r="C29" t="s">
        <v>48</v>
      </c>
      <c r="D29" t="s">
        <v>72</v>
      </c>
      <c r="E29" t="s">
        <v>65</v>
      </c>
      <c r="F29" t="s">
        <v>66</v>
      </c>
      <c r="G29">
        <v>1</v>
      </c>
      <c r="H29">
        <v>850</v>
      </c>
      <c r="I29">
        <v>5</v>
      </c>
      <c r="J29" t="s">
        <v>29</v>
      </c>
      <c r="K29" t="s">
        <v>36</v>
      </c>
    </row>
    <row r="30" spans="1:11" x14ac:dyDescent="0.3">
      <c r="A30" t="s">
        <v>120</v>
      </c>
      <c r="B30" t="s">
        <v>121</v>
      </c>
      <c r="C30" t="s">
        <v>122</v>
      </c>
      <c r="D30" t="s">
        <v>72</v>
      </c>
      <c r="E30" t="s">
        <v>65</v>
      </c>
      <c r="F30" t="s">
        <v>96</v>
      </c>
      <c r="G30">
        <v>5</v>
      </c>
      <c r="H30">
        <v>900</v>
      </c>
      <c r="I30">
        <v>15</v>
      </c>
      <c r="J30" t="s">
        <v>55</v>
      </c>
      <c r="K30" t="s">
        <v>22</v>
      </c>
    </row>
    <row r="31" spans="1:11" x14ac:dyDescent="0.3">
      <c r="A31" t="s">
        <v>123</v>
      </c>
      <c r="B31" t="s">
        <v>124</v>
      </c>
      <c r="C31" t="s">
        <v>125</v>
      </c>
      <c r="D31" t="s">
        <v>40</v>
      </c>
      <c r="E31" t="s">
        <v>34</v>
      </c>
      <c r="F31" t="s">
        <v>35</v>
      </c>
      <c r="G31">
        <v>3</v>
      </c>
      <c r="H31">
        <v>3500</v>
      </c>
      <c r="I31">
        <v>0</v>
      </c>
      <c r="J31" t="s">
        <v>17</v>
      </c>
      <c r="K31" t="s">
        <v>18</v>
      </c>
    </row>
    <row r="32" spans="1:11" x14ac:dyDescent="0.3">
      <c r="A32" t="s">
        <v>126</v>
      </c>
      <c r="B32" t="s">
        <v>127</v>
      </c>
      <c r="C32" t="s">
        <v>117</v>
      </c>
      <c r="D32" t="s">
        <v>40</v>
      </c>
      <c r="E32" t="s">
        <v>27</v>
      </c>
      <c r="F32" t="s">
        <v>128</v>
      </c>
      <c r="G32">
        <v>2</v>
      </c>
      <c r="H32">
        <v>1800</v>
      </c>
      <c r="I32">
        <v>0</v>
      </c>
      <c r="J32" t="s">
        <v>17</v>
      </c>
      <c r="K32" t="s">
        <v>22</v>
      </c>
    </row>
    <row r="33" spans="1:11" x14ac:dyDescent="0.3">
      <c r="A33" t="s">
        <v>129</v>
      </c>
      <c r="B33" t="s">
        <v>130</v>
      </c>
      <c r="C33" t="s">
        <v>13</v>
      </c>
      <c r="D33" t="s">
        <v>40</v>
      </c>
      <c r="E33" t="s">
        <v>65</v>
      </c>
      <c r="F33" t="s">
        <v>85</v>
      </c>
      <c r="G33">
        <v>5</v>
      </c>
      <c r="H33">
        <v>650</v>
      </c>
      <c r="I33">
        <v>0</v>
      </c>
      <c r="J33" t="s">
        <v>29</v>
      </c>
      <c r="K33" t="s">
        <v>30</v>
      </c>
    </row>
    <row r="34" spans="1:11" x14ac:dyDescent="0.3">
      <c r="A34" t="s">
        <v>131</v>
      </c>
      <c r="B34" t="s">
        <v>132</v>
      </c>
      <c r="C34" t="s">
        <v>133</v>
      </c>
      <c r="D34" t="s">
        <v>26</v>
      </c>
      <c r="E34" t="s">
        <v>34</v>
      </c>
      <c r="F34" t="s">
        <v>35</v>
      </c>
      <c r="G34">
        <v>2</v>
      </c>
      <c r="H34">
        <v>3500</v>
      </c>
      <c r="I34">
        <v>10</v>
      </c>
      <c r="J34" t="s">
        <v>29</v>
      </c>
      <c r="K34" t="s">
        <v>22</v>
      </c>
    </row>
    <row r="35" spans="1:11" x14ac:dyDescent="0.3">
      <c r="A35" t="s">
        <v>134</v>
      </c>
      <c r="B35" t="s">
        <v>135</v>
      </c>
      <c r="C35" t="s">
        <v>84</v>
      </c>
      <c r="D35" t="s">
        <v>40</v>
      </c>
      <c r="E35" t="s">
        <v>34</v>
      </c>
      <c r="F35" t="s">
        <v>62</v>
      </c>
      <c r="G35">
        <v>1</v>
      </c>
      <c r="H35">
        <v>900</v>
      </c>
      <c r="I35">
        <v>15</v>
      </c>
      <c r="J35" t="s">
        <v>17</v>
      </c>
      <c r="K35" t="s">
        <v>36</v>
      </c>
    </row>
    <row r="36" spans="1:11" x14ac:dyDescent="0.3">
      <c r="A36" t="s">
        <v>136</v>
      </c>
      <c r="B36" t="s">
        <v>137</v>
      </c>
      <c r="C36" t="s">
        <v>39</v>
      </c>
      <c r="D36" t="s">
        <v>14</v>
      </c>
      <c r="E36" t="s">
        <v>27</v>
      </c>
      <c r="F36" t="s">
        <v>138</v>
      </c>
      <c r="G36">
        <v>3</v>
      </c>
      <c r="H36">
        <v>650</v>
      </c>
      <c r="I36">
        <v>0</v>
      </c>
      <c r="J36" t="s">
        <v>55</v>
      </c>
      <c r="K36" t="s">
        <v>30</v>
      </c>
    </row>
    <row r="37" spans="1:11" x14ac:dyDescent="0.3">
      <c r="A37" t="s">
        <v>139</v>
      </c>
      <c r="B37" t="s">
        <v>94</v>
      </c>
      <c r="C37" t="s">
        <v>44</v>
      </c>
      <c r="D37" t="s">
        <v>26</v>
      </c>
      <c r="E37" t="s">
        <v>34</v>
      </c>
      <c r="F37" t="s">
        <v>35</v>
      </c>
      <c r="G37">
        <v>5</v>
      </c>
      <c r="H37">
        <v>3500</v>
      </c>
      <c r="I37">
        <v>20</v>
      </c>
      <c r="J37" t="s">
        <v>17</v>
      </c>
      <c r="K37" t="s">
        <v>30</v>
      </c>
    </row>
    <row r="38" spans="1:11" x14ac:dyDescent="0.3">
      <c r="A38" t="s">
        <v>140</v>
      </c>
      <c r="B38" t="s">
        <v>141</v>
      </c>
      <c r="C38" t="s">
        <v>142</v>
      </c>
      <c r="D38" t="s">
        <v>40</v>
      </c>
      <c r="E38" t="s">
        <v>15</v>
      </c>
      <c r="F38" t="s">
        <v>73</v>
      </c>
      <c r="G38">
        <v>5</v>
      </c>
      <c r="H38">
        <v>2200</v>
      </c>
      <c r="I38">
        <v>5</v>
      </c>
      <c r="J38" t="s">
        <v>51</v>
      </c>
      <c r="K38" t="s">
        <v>30</v>
      </c>
    </row>
    <row r="39" spans="1:11" x14ac:dyDescent="0.3">
      <c r="A39" t="s">
        <v>143</v>
      </c>
      <c r="B39" t="s">
        <v>144</v>
      </c>
      <c r="C39" t="s">
        <v>21</v>
      </c>
      <c r="D39" t="s">
        <v>26</v>
      </c>
      <c r="E39" t="s">
        <v>27</v>
      </c>
      <c r="F39" t="s">
        <v>138</v>
      </c>
      <c r="G39">
        <v>5</v>
      </c>
      <c r="H39">
        <v>650</v>
      </c>
      <c r="I39">
        <v>15</v>
      </c>
      <c r="J39" t="s">
        <v>51</v>
      </c>
      <c r="K39" t="s">
        <v>36</v>
      </c>
    </row>
    <row r="40" spans="1:11" x14ac:dyDescent="0.3">
      <c r="A40" t="s">
        <v>145</v>
      </c>
      <c r="B40" t="s">
        <v>12</v>
      </c>
      <c r="C40" t="s">
        <v>117</v>
      </c>
      <c r="D40" t="s">
        <v>40</v>
      </c>
      <c r="E40" t="s">
        <v>15</v>
      </c>
      <c r="F40" t="s">
        <v>146</v>
      </c>
      <c r="G40">
        <v>3</v>
      </c>
      <c r="H40">
        <v>2500</v>
      </c>
      <c r="I40">
        <v>5</v>
      </c>
      <c r="J40" t="s">
        <v>51</v>
      </c>
      <c r="K40" t="s">
        <v>22</v>
      </c>
    </row>
    <row r="41" spans="1:11" x14ac:dyDescent="0.3">
      <c r="A41" t="s">
        <v>147</v>
      </c>
      <c r="B41" t="s">
        <v>148</v>
      </c>
      <c r="C41" t="s">
        <v>109</v>
      </c>
      <c r="D41" t="s">
        <v>40</v>
      </c>
      <c r="E41" t="s">
        <v>65</v>
      </c>
      <c r="F41" t="s">
        <v>92</v>
      </c>
      <c r="G41">
        <v>1</v>
      </c>
      <c r="H41">
        <v>700</v>
      </c>
      <c r="I41">
        <v>0</v>
      </c>
      <c r="J41" t="s">
        <v>55</v>
      </c>
      <c r="K41" t="s">
        <v>36</v>
      </c>
    </row>
    <row r="42" spans="1:11" x14ac:dyDescent="0.3">
      <c r="A42" t="s">
        <v>149</v>
      </c>
      <c r="B42" t="s">
        <v>150</v>
      </c>
      <c r="C42" t="s">
        <v>105</v>
      </c>
      <c r="D42" t="s">
        <v>151</v>
      </c>
      <c r="E42" t="s">
        <v>34</v>
      </c>
      <c r="F42" t="s">
        <v>81</v>
      </c>
      <c r="G42">
        <v>2</v>
      </c>
      <c r="H42">
        <v>700</v>
      </c>
      <c r="I42">
        <v>0</v>
      </c>
      <c r="J42" t="s">
        <v>51</v>
      </c>
      <c r="K42" t="s">
        <v>30</v>
      </c>
    </row>
    <row r="43" spans="1:11" x14ac:dyDescent="0.3">
      <c r="A43" t="s">
        <v>152</v>
      </c>
      <c r="B43" t="s">
        <v>153</v>
      </c>
      <c r="C43" t="s">
        <v>154</v>
      </c>
      <c r="D43" t="s">
        <v>14</v>
      </c>
      <c r="E43" t="s">
        <v>15</v>
      </c>
      <c r="F43" t="s">
        <v>78</v>
      </c>
      <c r="G43">
        <v>1</v>
      </c>
      <c r="H43">
        <v>900</v>
      </c>
      <c r="I43">
        <v>10</v>
      </c>
      <c r="J43" t="s">
        <v>29</v>
      </c>
      <c r="K43" t="s">
        <v>22</v>
      </c>
    </row>
    <row r="44" spans="1:11" x14ac:dyDescent="0.3">
      <c r="A44" t="s">
        <v>155</v>
      </c>
      <c r="B44" t="s">
        <v>156</v>
      </c>
      <c r="C44" t="s">
        <v>95</v>
      </c>
      <c r="D44" t="s">
        <v>72</v>
      </c>
      <c r="E44" t="s">
        <v>49</v>
      </c>
      <c r="F44" t="s">
        <v>157</v>
      </c>
      <c r="G44">
        <v>1</v>
      </c>
      <c r="H44">
        <v>1800</v>
      </c>
      <c r="I44">
        <v>5</v>
      </c>
      <c r="J44" t="s">
        <v>51</v>
      </c>
      <c r="K44" t="s">
        <v>18</v>
      </c>
    </row>
    <row r="45" spans="1:11" x14ac:dyDescent="0.3">
      <c r="A45" t="s">
        <v>158</v>
      </c>
      <c r="B45" t="s">
        <v>127</v>
      </c>
      <c r="C45" t="s">
        <v>159</v>
      </c>
      <c r="D45" t="s">
        <v>40</v>
      </c>
      <c r="E45" t="s">
        <v>49</v>
      </c>
      <c r="F45" t="s">
        <v>50</v>
      </c>
      <c r="G45">
        <v>4</v>
      </c>
      <c r="H45">
        <v>2200</v>
      </c>
      <c r="I45">
        <v>0</v>
      </c>
      <c r="J45" t="s">
        <v>29</v>
      </c>
      <c r="K45" t="s">
        <v>22</v>
      </c>
    </row>
    <row r="46" spans="1:11" x14ac:dyDescent="0.3">
      <c r="A46" t="s">
        <v>160</v>
      </c>
      <c r="B46" t="s">
        <v>161</v>
      </c>
      <c r="C46" t="s">
        <v>122</v>
      </c>
      <c r="D46" t="s">
        <v>14</v>
      </c>
      <c r="E46" t="s">
        <v>49</v>
      </c>
      <c r="F46" t="s">
        <v>58</v>
      </c>
      <c r="G46">
        <v>2</v>
      </c>
      <c r="H46">
        <v>3200</v>
      </c>
      <c r="I46">
        <v>0</v>
      </c>
      <c r="J46" t="s">
        <v>55</v>
      </c>
      <c r="K46" t="s">
        <v>18</v>
      </c>
    </row>
    <row r="47" spans="1:11" x14ac:dyDescent="0.3">
      <c r="A47" t="s">
        <v>162</v>
      </c>
      <c r="B47" t="s">
        <v>102</v>
      </c>
      <c r="C47" t="s">
        <v>33</v>
      </c>
      <c r="D47" t="s">
        <v>26</v>
      </c>
      <c r="E47" t="s">
        <v>34</v>
      </c>
      <c r="F47" t="s">
        <v>41</v>
      </c>
      <c r="G47">
        <v>3</v>
      </c>
      <c r="H47">
        <v>1600</v>
      </c>
      <c r="I47">
        <v>20</v>
      </c>
      <c r="J47" t="s">
        <v>29</v>
      </c>
      <c r="K47" t="s">
        <v>30</v>
      </c>
    </row>
    <row r="48" spans="1:11" x14ac:dyDescent="0.3">
      <c r="A48" t="s">
        <v>163</v>
      </c>
      <c r="B48" t="s">
        <v>164</v>
      </c>
      <c r="C48" t="s">
        <v>71</v>
      </c>
      <c r="D48" t="s">
        <v>26</v>
      </c>
      <c r="E48" t="s">
        <v>15</v>
      </c>
      <c r="F48" t="s">
        <v>16</v>
      </c>
      <c r="G48">
        <v>1</v>
      </c>
      <c r="H48">
        <v>1500</v>
      </c>
      <c r="I48">
        <v>0</v>
      </c>
      <c r="J48" t="s">
        <v>29</v>
      </c>
      <c r="K48" t="s">
        <v>30</v>
      </c>
    </row>
    <row r="49" spans="1:11" x14ac:dyDescent="0.3">
      <c r="A49" t="s">
        <v>165</v>
      </c>
      <c r="B49" t="s">
        <v>80</v>
      </c>
      <c r="C49" t="s">
        <v>166</v>
      </c>
      <c r="D49" t="s">
        <v>40</v>
      </c>
      <c r="E49" t="s">
        <v>34</v>
      </c>
      <c r="F49" t="s">
        <v>62</v>
      </c>
      <c r="G49">
        <v>4</v>
      </c>
      <c r="H49">
        <v>900</v>
      </c>
      <c r="I49">
        <v>20</v>
      </c>
      <c r="J49" t="s">
        <v>55</v>
      </c>
      <c r="K49" t="s">
        <v>30</v>
      </c>
    </row>
    <row r="50" spans="1:11" x14ac:dyDescent="0.3">
      <c r="A50" t="s">
        <v>167</v>
      </c>
      <c r="B50" t="s">
        <v>168</v>
      </c>
      <c r="C50" t="s">
        <v>166</v>
      </c>
      <c r="D50" t="s">
        <v>14</v>
      </c>
      <c r="E50" t="s">
        <v>15</v>
      </c>
      <c r="F50" t="s">
        <v>146</v>
      </c>
      <c r="G50">
        <v>3</v>
      </c>
      <c r="H50">
        <v>2500</v>
      </c>
      <c r="I50">
        <v>15</v>
      </c>
      <c r="J50" t="s">
        <v>17</v>
      </c>
      <c r="K50" t="s">
        <v>30</v>
      </c>
    </row>
    <row r="51" spans="1:11" x14ac:dyDescent="0.3">
      <c r="A51" t="s">
        <v>169</v>
      </c>
      <c r="B51" t="s">
        <v>170</v>
      </c>
      <c r="C51" t="s">
        <v>48</v>
      </c>
      <c r="D51" t="s">
        <v>40</v>
      </c>
      <c r="E51" t="s">
        <v>27</v>
      </c>
      <c r="F51" t="s">
        <v>171</v>
      </c>
      <c r="G51">
        <v>3</v>
      </c>
      <c r="H51">
        <v>550</v>
      </c>
      <c r="I51">
        <v>20</v>
      </c>
      <c r="J51" t="s">
        <v>51</v>
      </c>
      <c r="K51" t="s">
        <v>18</v>
      </c>
    </row>
    <row r="52" spans="1:11" x14ac:dyDescent="0.3">
      <c r="A52" t="s">
        <v>172</v>
      </c>
      <c r="B52" t="s">
        <v>173</v>
      </c>
      <c r="C52" t="s">
        <v>122</v>
      </c>
      <c r="D52" t="s">
        <v>14</v>
      </c>
      <c r="E52" t="s">
        <v>34</v>
      </c>
      <c r="F52" t="s">
        <v>62</v>
      </c>
      <c r="G52">
        <v>2</v>
      </c>
      <c r="H52">
        <v>900</v>
      </c>
      <c r="I52">
        <v>15</v>
      </c>
      <c r="J52" t="s">
        <v>29</v>
      </c>
      <c r="K52" t="s">
        <v>22</v>
      </c>
    </row>
    <row r="53" spans="1:11" x14ac:dyDescent="0.3">
      <c r="A53" t="s">
        <v>174</v>
      </c>
      <c r="B53" t="s">
        <v>175</v>
      </c>
      <c r="C53" t="s">
        <v>176</v>
      </c>
      <c r="D53" t="s">
        <v>40</v>
      </c>
      <c r="E53" t="s">
        <v>27</v>
      </c>
      <c r="F53" t="s">
        <v>128</v>
      </c>
      <c r="G53">
        <v>3</v>
      </c>
      <c r="H53">
        <v>1800</v>
      </c>
      <c r="I53">
        <v>10</v>
      </c>
      <c r="J53" t="s">
        <v>55</v>
      </c>
      <c r="K53" t="s">
        <v>18</v>
      </c>
    </row>
    <row r="54" spans="1:11" x14ac:dyDescent="0.3">
      <c r="A54" t="s">
        <v>177</v>
      </c>
      <c r="B54" t="s">
        <v>178</v>
      </c>
      <c r="C54" t="s">
        <v>179</v>
      </c>
      <c r="D54" t="s">
        <v>72</v>
      </c>
      <c r="E54" t="s">
        <v>27</v>
      </c>
      <c r="F54" t="s">
        <v>128</v>
      </c>
      <c r="G54">
        <v>4</v>
      </c>
      <c r="H54">
        <v>1800</v>
      </c>
      <c r="I54">
        <v>15</v>
      </c>
      <c r="J54" t="s">
        <v>55</v>
      </c>
      <c r="K54" t="s">
        <v>18</v>
      </c>
    </row>
    <row r="55" spans="1:11" x14ac:dyDescent="0.3">
      <c r="A55" t="s">
        <v>180</v>
      </c>
      <c r="B55" t="s">
        <v>181</v>
      </c>
      <c r="C55" t="s">
        <v>166</v>
      </c>
      <c r="D55" t="s">
        <v>26</v>
      </c>
      <c r="E55" t="s">
        <v>49</v>
      </c>
      <c r="F55" t="s">
        <v>182</v>
      </c>
      <c r="G55">
        <v>1</v>
      </c>
      <c r="H55">
        <v>800</v>
      </c>
      <c r="I55">
        <v>5</v>
      </c>
      <c r="J55" t="s">
        <v>51</v>
      </c>
      <c r="K55" t="s">
        <v>22</v>
      </c>
    </row>
    <row r="56" spans="1:11" x14ac:dyDescent="0.3">
      <c r="A56" t="s">
        <v>183</v>
      </c>
      <c r="B56" t="s">
        <v>184</v>
      </c>
      <c r="C56" t="s">
        <v>117</v>
      </c>
      <c r="D56" t="s">
        <v>14</v>
      </c>
      <c r="E56" t="s">
        <v>49</v>
      </c>
      <c r="F56" t="s">
        <v>157</v>
      </c>
      <c r="G56">
        <v>4</v>
      </c>
      <c r="H56">
        <v>1800</v>
      </c>
      <c r="I56">
        <v>20</v>
      </c>
      <c r="J56" t="s">
        <v>17</v>
      </c>
      <c r="K56" t="s">
        <v>18</v>
      </c>
    </row>
    <row r="57" spans="1:11" x14ac:dyDescent="0.3">
      <c r="A57" t="s">
        <v>185</v>
      </c>
      <c r="B57" t="s">
        <v>186</v>
      </c>
      <c r="C57" t="s">
        <v>187</v>
      </c>
      <c r="D57" t="s">
        <v>72</v>
      </c>
      <c r="E57" t="s">
        <v>65</v>
      </c>
      <c r="F57" t="s">
        <v>92</v>
      </c>
      <c r="G57">
        <v>4</v>
      </c>
      <c r="H57">
        <v>700</v>
      </c>
      <c r="I57">
        <v>15</v>
      </c>
      <c r="J57" t="s">
        <v>55</v>
      </c>
      <c r="K57" t="s">
        <v>22</v>
      </c>
    </row>
    <row r="58" spans="1:11" x14ac:dyDescent="0.3">
      <c r="A58" t="s">
        <v>188</v>
      </c>
      <c r="B58" t="s">
        <v>189</v>
      </c>
      <c r="C58" t="s">
        <v>13</v>
      </c>
      <c r="D58" t="s">
        <v>14</v>
      </c>
      <c r="E58" t="s">
        <v>15</v>
      </c>
      <c r="F58" t="s">
        <v>16</v>
      </c>
      <c r="G58">
        <v>5</v>
      </c>
      <c r="H58">
        <v>1500</v>
      </c>
      <c r="I58">
        <v>15</v>
      </c>
      <c r="J58" t="s">
        <v>17</v>
      </c>
      <c r="K58" t="s">
        <v>22</v>
      </c>
    </row>
    <row r="59" spans="1:11" x14ac:dyDescent="0.3">
      <c r="A59" t="s">
        <v>190</v>
      </c>
      <c r="B59" t="s">
        <v>191</v>
      </c>
      <c r="C59" t="s">
        <v>159</v>
      </c>
      <c r="D59" t="s">
        <v>72</v>
      </c>
      <c r="E59" t="s">
        <v>15</v>
      </c>
      <c r="F59" t="s">
        <v>146</v>
      </c>
      <c r="G59">
        <v>5</v>
      </c>
      <c r="H59">
        <v>2500</v>
      </c>
      <c r="I59">
        <v>20</v>
      </c>
      <c r="J59" t="s">
        <v>51</v>
      </c>
      <c r="K59" t="s">
        <v>18</v>
      </c>
    </row>
    <row r="60" spans="1:11" x14ac:dyDescent="0.3">
      <c r="A60" t="s">
        <v>192</v>
      </c>
      <c r="B60" t="s">
        <v>193</v>
      </c>
      <c r="C60" t="s">
        <v>44</v>
      </c>
      <c r="D60" t="s">
        <v>72</v>
      </c>
      <c r="E60" t="s">
        <v>27</v>
      </c>
      <c r="F60" t="s">
        <v>128</v>
      </c>
      <c r="G60">
        <v>2</v>
      </c>
      <c r="H60">
        <v>1800</v>
      </c>
      <c r="I60">
        <v>15</v>
      </c>
      <c r="J60" t="s">
        <v>29</v>
      </c>
      <c r="K60" t="s">
        <v>30</v>
      </c>
    </row>
    <row r="61" spans="1:11" x14ac:dyDescent="0.3">
      <c r="A61" t="s">
        <v>194</v>
      </c>
      <c r="B61" t="s">
        <v>195</v>
      </c>
      <c r="C61" t="s">
        <v>196</v>
      </c>
      <c r="D61" t="s">
        <v>14</v>
      </c>
      <c r="E61" t="s">
        <v>49</v>
      </c>
      <c r="F61" t="s">
        <v>50</v>
      </c>
      <c r="G61">
        <v>3</v>
      </c>
      <c r="H61">
        <v>2200</v>
      </c>
      <c r="I61">
        <v>15</v>
      </c>
      <c r="J61" t="s">
        <v>17</v>
      </c>
      <c r="K61" t="s">
        <v>30</v>
      </c>
    </row>
    <row r="62" spans="1:11" x14ac:dyDescent="0.3">
      <c r="A62" t="s">
        <v>197</v>
      </c>
      <c r="B62" t="s">
        <v>198</v>
      </c>
      <c r="C62" t="s">
        <v>179</v>
      </c>
      <c r="D62" t="s">
        <v>40</v>
      </c>
      <c r="E62" t="s">
        <v>49</v>
      </c>
      <c r="F62" t="s">
        <v>50</v>
      </c>
      <c r="G62">
        <v>2</v>
      </c>
      <c r="H62">
        <v>2200</v>
      </c>
      <c r="I62">
        <v>5</v>
      </c>
      <c r="J62" t="s">
        <v>55</v>
      </c>
      <c r="K62" t="s">
        <v>18</v>
      </c>
    </row>
    <row r="63" spans="1:11" x14ac:dyDescent="0.3">
      <c r="A63" t="s">
        <v>199</v>
      </c>
      <c r="B63" t="s">
        <v>200</v>
      </c>
      <c r="C63" t="s">
        <v>109</v>
      </c>
      <c r="D63" t="s">
        <v>72</v>
      </c>
      <c r="E63" t="s">
        <v>49</v>
      </c>
      <c r="F63" t="s">
        <v>157</v>
      </c>
      <c r="G63">
        <v>3</v>
      </c>
      <c r="H63">
        <v>1800</v>
      </c>
      <c r="I63">
        <v>20</v>
      </c>
      <c r="J63" t="s">
        <v>29</v>
      </c>
      <c r="K63" t="s">
        <v>18</v>
      </c>
    </row>
    <row r="64" spans="1:11" x14ac:dyDescent="0.3">
      <c r="A64" t="s">
        <v>201</v>
      </c>
      <c r="B64" t="s">
        <v>202</v>
      </c>
      <c r="C64" t="s">
        <v>176</v>
      </c>
      <c r="D64" t="s">
        <v>40</v>
      </c>
      <c r="E64" t="s">
        <v>15</v>
      </c>
      <c r="F64" t="s">
        <v>73</v>
      </c>
      <c r="G64">
        <v>5</v>
      </c>
      <c r="H64">
        <v>2200</v>
      </c>
      <c r="J64" t="s">
        <v>29</v>
      </c>
      <c r="K64" t="s">
        <v>36</v>
      </c>
    </row>
    <row r="65" spans="1:11" x14ac:dyDescent="0.3">
      <c r="A65" t="s">
        <v>203</v>
      </c>
      <c r="B65" t="s">
        <v>204</v>
      </c>
      <c r="C65" t="s">
        <v>48</v>
      </c>
      <c r="D65" t="s">
        <v>72</v>
      </c>
      <c r="E65" t="s">
        <v>34</v>
      </c>
      <c r="F65" t="s">
        <v>41</v>
      </c>
      <c r="G65">
        <v>5</v>
      </c>
      <c r="H65">
        <v>1600</v>
      </c>
      <c r="I65">
        <v>20</v>
      </c>
      <c r="J65" t="s">
        <v>55</v>
      </c>
      <c r="K65" t="s">
        <v>18</v>
      </c>
    </row>
    <row r="66" spans="1:11" x14ac:dyDescent="0.3">
      <c r="A66" t="s">
        <v>205</v>
      </c>
      <c r="B66" t="s">
        <v>77</v>
      </c>
      <c r="C66" t="s">
        <v>196</v>
      </c>
      <c r="D66" t="s">
        <v>40</v>
      </c>
      <c r="E66" t="s">
        <v>49</v>
      </c>
      <c r="F66" t="s">
        <v>50</v>
      </c>
      <c r="G66">
        <v>4</v>
      </c>
      <c r="H66">
        <v>2200</v>
      </c>
      <c r="I66">
        <v>10</v>
      </c>
      <c r="J66" t="s">
        <v>29</v>
      </c>
      <c r="K66" t="s">
        <v>22</v>
      </c>
    </row>
    <row r="67" spans="1:11" x14ac:dyDescent="0.3">
      <c r="A67" t="s">
        <v>206</v>
      </c>
      <c r="B67" t="s">
        <v>207</v>
      </c>
      <c r="C67" t="s">
        <v>99</v>
      </c>
      <c r="D67" t="s">
        <v>40</v>
      </c>
      <c r="E67" t="s">
        <v>65</v>
      </c>
      <c r="F67" t="s">
        <v>106</v>
      </c>
      <c r="G67">
        <v>4</v>
      </c>
      <c r="H67">
        <v>750</v>
      </c>
      <c r="I67">
        <v>20</v>
      </c>
      <c r="J67" t="s">
        <v>17</v>
      </c>
      <c r="K67" t="s">
        <v>36</v>
      </c>
    </row>
    <row r="68" spans="1:11" x14ac:dyDescent="0.3">
      <c r="A68" t="s">
        <v>208</v>
      </c>
      <c r="B68" t="s">
        <v>209</v>
      </c>
      <c r="C68" t="s">
        <v>71</v>
      </c>
      <c r="D68" t="s">
        <v>40</v>
      </c>
      <c r="E68" t="s">
        <v>65</v>
      </c>
      <c r="F68" t="s">
        <v>106</v>
      </c>
      <c r="G68">
        <v>3</v>
      </c>
      <c r="H68">
        <v>750</v>
      </c>
      <c r="I68">
        <v>15</v>
      </c>
      <c r="J68" t="s">
        <v>51</v>
      </c>
      <c r="K68" t="s">
        <v>22</v>
      </c>
    </row>
    <row r="69" spans="1:11" x14ac:dyDescent="0.3">
      <c r="A69" t="s">
        <v>210</v>
      </c>
      <c r="B69" t="s">
        <v>211</v>
      </c>
      <c r="C69" t="s">
        <v>33</v>
      </c>
      <c r="D69" t="s">
        <v>72</v>
      </c>
      <c r="E69" t="s">
        <v>65</v>
      </c>
      <c r="F69" t="s">
        <v>96</v>
      </c>
      <c r="G69">
        <v>3</v>
      </c>
      <c r="H69">
        <v>900</v>
      </c>
      <c r="I69">
        <v>15</v>
      </c>
      <c r="J69" t="s">
        <v>51</v>
      </c>
      <c r="K69" t="s">
        <v>36</v>
      </c>
    </row>
    <row r="70" spans="1:11" x14ac:dyDescent="0.3">
      <c r="A70" t="s">
        <v>212</v>
      </c>
      <c r="B70" t="s">
        <v>104</v>
      </c>
      <c r="C70" t="s">
        <v>117</v>
      </c>
      <c r="D70" t="s">
        <v>26</v>
      </c>
      <c r="E70" t="s">
        <v>65</v>
      </c>
      <c r="F70" t="s">
        <v>85</v>
      </c>
      <c r="G70">
        <v>2</v>
      </c>
      <c r="H70">
        <v>650</v>
      </c>
      <c r="I70">
        <v>0</v>
      </c>
      <c r="J70" t="s">
        <v>17</v>
      </c>
      <c r="K70" t="s">
        <v>36</v>
      </c>
    </row>
    <row r="71" spans="1:11" x14ac:dyDescent="0.3">
      <c r="A71" t="s">
        <v>213</v>
      </c>
      <c r="B71" t="s">
        <v>214</v>
      </c>
      <c r="C71" t="s">
        <v>215</v>
      </c>
      <c r="D71" t="s">
        <v>14</v>
      </c>
      <c r="E71" t="s">
        <v>49</v>
      </c>
      <c r="F71" t="s">
        <v>157</v>
      </c>
      <c r="G71">
        <v>2</v>
      </c>
      <c r="H71">
        <v>1800</v>
      </c>
      <c r="I71">
        <v>5</v>
      </c>
      <c r="J71" t="s">
        <v>29</v>
      </c>
      <c r="K71" t="s">
        <v>36</v>
      </c>
    </row>
    <row r="72" spans="1:11" x14ac:dyDescent="0.3">
      <c r="A72" t="s">
        <v>216</v>
      </c>
      <c r="B72" t="s">
        <v>217</v>
      </c>
      <c r="C72" t="s">
        <v>133</v>
      </c>
      <c r="D72" t="s">
        <v>26</v>
      </c>
      <c r="E72" t="s">
        <v>27</v>
      </c>
      <c r="F72" t="s">
        <v>138</v>
      </c>
      <c r="G72">
        <v>3</v>
      </c>
      <c r="H72">
        <v>650</v>
      </c>
      <c r="I72">
        <v>5</v>
      </c>
      <c r="J72" t="s">
        <v>17</v>
      </c>
      <c r="K72" t="s">
        <v>22</v>
      </c>
    </row>
    <row r="73" spans="1:11" x14ac:dyDescent="0.3">
      <c r="A73" t="s">
        <v>218</v>
      </c>
      <c r="B73" t="s">
        <v>219</v>
      </c>
      <c r="C73" t="s">
        <v>220</v>
      </c>
      <c r="D73" t="s">
        <v>26</v>
      </c>
      <c r="E73" t="s">
        <v>34</v>
      </c>
      <c r="F73" t="s">
        <v>100</v>
      </c>
      <c r="G73">
        <v>5</v>
      </c>
      <c r="H73">
        <v>1200</v>
      </c>
      <c r="I73">
        <v>15</v>
      </c>
      <c r="J73" t="s">
        <v>29</v>
      </c>
      <c r="K73" t="s">
        <v>22</v>
      </c>
    </row>
    <row r="74" spans="1:11" x14ac:dyDescent="0.3">
      <c r="A74" t="s">
        <v>221</v>
      </c>
      <c r="B74" t="s">
        <v>222</v>
      </c>
      <c r="C74" t="s">
        <v>44</v>
      </c>
      <c r="D74" t="s">
        <v>14</v>
      </c>
      <c r="E74" t="s">
        <v>15</v>
      </c>
      <c r="F74" t="s">
        <v>45</v>
      </c>
      <c r="G74">
        <v>1</v>
      </c>
      <c r="H74">
        <v>4500</v>
      </c>
      <c r="I74">
        <v>10</v>
      </c>
      <c r="J74" t="s">
        <v>17</v>
      </c>
      <c r="K74" t="s">
        <v>36</v>
      </c>
    </row>
    <row r="75" spans="1:11" x14ac:dyDescent="0.3">
      <c r="A75" t="s">
        <v>223</v>
      </c>
      <c r="B75" t="s">
        <v>193</v>
      </c>
      <c r="C75" t="s">
        <v>154</v>
      </c>
      <c r="D75" t="s">
        <v>26</v>
      </c>
      <c r="E75" t="s">
        <v>34</v>
      </c>
      <c r="F75" t="s">
        <v>81</v>
      </c>
      <c r="G75">
        <v>1</v>
      </c>
      <c r="H75">
        <v>700</v>
      </c>
      <c r="I75">
        <v>20</v>
      </c>
      <c r="J75" t="s">
        <v>51</v>
      </c>
      <c r="K75" t="s">
        <v>36</v>
      </c>
    </row>
    <row r="76" spans="1:11" x14ac:dyDescent="0.3">
      <c r="A76" t="s">
        <v>224</v>
      </c>
      <c r="B76" t="s">
        <v>225</v>
      </c>
      <c r="C76" t="s">
        <v>109</v>
      </c>
      <c r="D76" t="s">
        <v>26</v>
      </c>
      <c r="E76" t="s">
        <v>65</v>
      </c>
      <c r="F76" t="s">
        <v>66</v>
      </c>
      <c r="G76">
        <v>4</v>
      </c>
      <c r="H76">
        <v>850</v>
      </c>
      <c r="I76">
        <v>5</v>
      </c>
      <c r="J76" t="s">
        <v>114</v>
      </c>
      <c r="K76" t="s">
        <v>22</v>
      </c>
    </row>
    <row r="77" spans="1:11" x14ac:dyDescent="0.3">
      <c r="A77" t="s">
        <v>226</v>
      </c>
      <c r="B77" t="s">
        <v>227</v>
      </c>
      <c r="C77" t="s">
        <v>159</v>
      </c>
      <c r="D77" t="s">
        <v>72</v>
      </c>
      <c r="E77" t="s">
        <v>27</v>
      </c>
      <c r="F77" t="s">
        <v>171</v>
      </c>
      <c r="G77">
        <v>4</v>
      </c>
      <c r="H77">
        <v>550</v>
      </c>
      <c r="I77">
        <v>15</v>
      </c>
      <c r="J77" t="s">
        <v>51</v>
      </c>
      <c r="K77" t="s">
        <v>30</v>
      </c>
    </row>
    <row r="78" spans="1:11" x14ac:dyDescent="0.3">
      <c r="A78" t="s">
        <v>228</v>
      </c>
      <c r="B78" t="s">
        <v>229</v>
      </c>
      <c r="C78" t="s">
        <v>95</v>
      </c>
      <c r="D78" t="s">
        <v>72</v>
      </c>
      <c r="E78" t="s">
        <v>49</v>
      </c>
      <c r="F78" t="s">
        <v>182</v>
      </c>
      <c r="G78">
        <v>2</v>
      </c>
      <c r="H78">
        <v>800</v>
      </c>
      <c r="I78">
        <v>15</v>
      </c>
      <c r="J78" t="s">
        <v>29</v>
      </c>
      <c r="K78" t="s">
        <v>30</v>
      </c>
    </row>
    <row r="79" spans="1:11" x14ac:dyDescent="0.3">
      <c r="A79" t="s">
        <v>230</v>
      </c>
      <c r="B79" t="s">
        <v>231</v>
      </c>
      <c r="C79" t="s">
        <v>71</v>
      </c>
      <c r="D79" t="s">
        <v>72</v>
      </c>
      <c r="E79" t="s">
        <v>15</v>
      </c>
      <c r="F79" t="s">
        <v>146</v>
      </c>
      <c r="G79">
        <v>2</v>
      </c>
      <c r="H79">
        <v>2500</v>
      </c>
      <c r="I79">
        <v>10</v>
      </c>
      <c r="J79" t="s">
        <v>51</v>
      </c>
      <c r="K79" t="s">
        <v>30</v>
      </c>
    </row>
    <row r="80" spans="1:11" x14ac:dyDescent="0.3">
      <c r="A80" t="s">
        <v>232</v>
      </c>
      <c r="B80" t="s">
        <v>233</v>
      </c>
      <c r="C80" t="s">
        <v>95</v>
      </c>
      <c r="D80" t="s">
        <v>26</v>
      </c>
      <c r="E80" t="s">
        <v>34</v>
      </c>
      <c r="F80" t="s">
        <v>81</v>
      </c>
      <c r="G80">
        <v>5</v>
      </c>
      <c r="H80">
        <v>700</v>
      </c>
      <c r="I80">
        <v>0</v>
      </c>
      <c r="J80" t="s">
        <v>55</v>
      </c>
      <c r="K80" t="s">
        <v>36</v>
      </c>
    </row>
    <row r="81" spans="1:11" x14ac:dyDescent="0.3">
      <c r="A81" t="s">
        <v>234</v>
      </c>
      <c r="B81" t="s">
        <v>235</v>
      </c>
      <c r="C81" t="s">
        <v>99</v>
      </c>
      <c r="D81" t="s">
        <v>14</v>
      </c>
      <c r="E81" t="s">
        <v>49</v>
      </c>
      <c r="F81" t="s">
        <v>58</v>
      </c>
      <c r="G81">
        <v>4</v>
      </c>
      <c r="H81">
        <v>3200</v>
      </c>
      <c r="I81">
        <v>15</v>
      </c>
      <c r="J81" t="s">
        <v>29</v>
      </c>
      <c r="K81" t="s">
        <v>36</v>
      </c>
    </row>
    <row r="82" spans="1:11" x14ac:dyDescent="0.3">
      <c r="A82" t="s">
        <v>236</v>
      </c>
      <c r="B82" t="s">
        <v>24</v>
      </c>
      <c r="C82" t="s">
        <v>176</v>
      </c>
      <c r="D82" t="s">
        <v>14</v>
      </c>
      <c r="E82" t="s">
        <v>15</v>
      </c>
      <c r="F82" t="s">
        <v>78</v>
      </c>
      <c r="G82">
        <v>3</v>
      </c>
      <c r="H82">
        <v>900</v>
      </c>
      <c r="I82">
        <v>20</v>
      </c>
      <c r="J82" t="s">
        <v>51</v>
      </c>
      <c r="K82" t="s">
        <v>18</v>
      </c>
    </row>
    <row r="83" spans="1:11" x14ac:dyDescent="0.3">
      <c r="A83" t="s">
        <v>237</v>
      </c>
      <c r="B83" t="s">
        <v>238</v>
      </c>
      <c r="C83" t="s">
        <v>109</v>
      </c>
      <c r="D83" t="s">
        <v>26</v>
      </c>
      <c r="E83" t="s">
        <v>27</v>
      </c>
      <c r="F83" t="s">
        <v>128</v>
      </c>
      <c r="G83">
        <v>3</v>
      </c>
      <c r="H83">
        <v>1800</v>
      </c>
      <c r="I83">
        <v>15</v>
      </c>
      <c r="J83" t="s">
        <v>51</v>
      </c>
      <c r="K83" t="s">
        <v>30</v>
      </c>
    </row>
    <row r="84" spans="1:11" x14ac:dyDescent="0.3">
      <c r="A84" t="s">
        <v>239</v>
      </c>
      <c r="B84" t="s">
        <v>240</v>
      </c>
      <c r="C84" t="s">
        <v>88</v>
      </c>
      <c r="D84" t="s">
        <v>14</v>
      </c>
      <c r="E84" t="s">
        <v>34</v>
      </c>
      <c r="F84" t="s">
        <v>35</v>
      </c>
      <c r="G84">
        <v>3</v>
      </c>
      <c r="H84">
        <v>3500</v>
      </c>
      <c r="I84">
        <v>0</v>
      </c>
      <c r="J84" t="s">
        <v>55</v>
      </c>
      <c r="K84" t="s">
        <v>22</v>
      </c>
    </row>
    <row r="85" spans="1:11" x14ac:dyDescent="0.3">
      <c r="A85" t="s">
        <v>241</v>
      </c>
      <c r="B85" t="s">
        <v>12</v>
      </c>
      <c r="C85" t="s">
        <v>88</v>
      </c>
      <c r="D85" t="s">
        <v>26</v>
      </c>
      <c r="E85" t="s">
        <v>49</v>
      </c>
      <c r="F85" t="s">
        <v>58</v>
      </c>
      <c r="G85">
        <v>1</v>
      </c>
      <c r="H85">
        <v>3200</v>
      </c>
      <c r="I85">
        <v>5</v>
      </c>
      <c r="J85" t="s">
        <v>51</v>
      </c>
      <c r="K85" t="s">
        <v>22</v>
      </c>
    </row>
    <row r="86" spans="1:11" x14ac:dyDescent="0.3">
      <c r="A86" t="s">
        <v>242</v>
      </c>
      <c r="B86" t="s">
        <v>175</v>
      </c>
      <c r="C86" t="s">
        <v>220</v>
      </c>
      <c r="D86" t="s">
        <v>14</v>
      </c>
      <c r="E86" t="s">
        <v>34</v>
      </c>
      <c r="F86" t="s">
        <v>35</v>
      </c>
      <c r="G86">
        <v>3</v>
      </c>
      <c r="H86">
        <v>3500</v>
      </c>
      <c r="I86">
        <v>0</v>
      </c>
      <c r="J86" t="s">
        <v>17</v>
      </c>
      <c r="K86" t="s">
        <v>30</v>
      </c>
    </row>
    <row r="87" spans="1:11" x14ac:dyDescent="0.3">
      <c r="A87" t="s">
        <v>243</v>
      </c>
      <c r="B87" t="s">
        <v>244</v>
      </c>
      <c r="C87" t="s">
        <v>48</v>
      </c>
      <c r="D87" t="s">
        <v>40</v>
      </c>
      <c r="E87" t="s">
        <v>49</v>
      </c>
      <c r="F87" t="s">
        <v>58</v>
      </c>
      <c r="G87">
        <v>5</v>
      </c>
      <c r="H87">
        <v>3200</v>
      </c>
      <c r="I87">
        <v>10</v>
      </c>
      <c r="J87" t="s">
        <v>29</v>
      </c>
      <c r="K87" t="s">
        <v>18</v>
      </c>
    </row>
    <row r="88" spans="1:11" x14ac:dyDescent="0.3">
      <c r="A88" t="s">
        <v>245</v>
      </c>
      <c r="B88" t="s">
        <v>246</v>
      </c>
      <c r="C88" t="s">
        <v>117</v>
      </c>
      <c r="D88" t="s">
        <v>26</v>
      </c>
      <c r="E88" t="s">
        <v>65</v>
      </c>
      <c r="F88" t="s">
        <v>96</v>
      </c>
      <c r="G88">
        <v>4</v>
      </c>
      <c r="H88">
        <v>900</v>
      </c>
      <c r="I88">
        <v>0</v>
      </c>
      <c r="J88" t="s">
        <v>17</v>
      </c>
      <c r="K88" t="s">
        <v>18</v>
      </c>
    </row>
    <row r="89" spans="1:11" x14ac:dyDescent="0.3">
      <c r="A89" t="s">
        <v>247</v>
      </c>
      <c r="B89" t="s">
        <v>248</v>
      </c>
      <c r="C89" t="s">
        <v>249</v>
      </c>
      <c r="D89" t="s">
        <v>40</v>
      </c>
      <c r="E89" t="s">
        <v>65</v>
      </c>
      <c r="F89" t="s">
        <v>85</v>
      </c>
      <c r="G89">
        <v>2</v>
      </c>
      <c r="H89">
        <v>650</v>
      </c>
      <c r="I89">
        <v>5</v>
      </c>
      <c r="J89" t="s">
        <v>51</v>
      </c>
      <c r="K89" t="s">
        <v>36</v>
      </c>
    </row>
    <row r="90" spans="1:11" x14ac:dyDescent="0.3">
      <c r="A90" t="s">
        <v>250</v>
      </c>
      <c r="B90" t="s">
        <v>251</v>
      </c>
      <c r="C90" t="s">
        <v>33</v>
      </c>
      <c r="D90" t="s">
        <v>72</v>
      </c>
      <c r="E90" t="s">
        <v>49</v>
      </c>
      <c r="F90" t="s">
        <v>182</v>
      </c>
      <c r="G90">
        <v>5</v>
      </c>
      <c r="H90">
        <v>800</v>
      </c>
      <c r="I90">
        <v>20</v>
      </c>
      <c r="J90" t="s">
        <v>55</v>
      </c>
      <c r="K90" t="s">
        <v>18</v>
      </c>
    </row>
    <row r="91" spans="1:11" x14ac:dyDescent="0.3">
      <c r="A91" t="s">
        <v>252</v>
      </c>
      <c r="B91" t="s">
        <v>253</v>
      </c>
      <c r="C91" t="s">
        <v>48</v>
      </c>
      <c r="D91" t="s">
        <v>72</v>
      </c>
      <c r="E91" t="s">
        <v>65</v>
      </c>
      <c r="F91" t="s">
        <v>66</v>
      </c>
      <c r="G91">
        <v>3</v>
      </c>
      <c r="H91">
        <v>850</v>
      </c>
      <c r="I91">
        <v>20</v>
      </c>
      <c r="J91" t="s">
        <v>17</v>
      </c>
      <c r="K91" t="s">
        <v>36</v>
      </c>
    </row>
    <row r="92" spans="1:11" x14ac:dyDescent="0.3">
      <c r="A92" t="s">
        <v>254</v>
      </c>
      <c r="B92" t="s">
        <v>141</v>
      </c>
      <c r="C92" t="s">
        <v>154</v>
      </c>
      <c r="D92" t="s">
        <v>40</v>
      </c>
      <c r="E92" t="s">
        <v>49</v>
      </c>
      <c r="F92" t="s">
        <v>157</v>
      </c>
      <c r="G92">
        <v>2</v>
      </c>
      <c r="H92">
        <v>1800</v>
      </c>
      <c r="I92">
        <v>5</v>
      </c>
      <c r="J92" t="s">
        <v>55</v>
      </c>
      <c r="K92" t="s">
        <v>36</v>
      </c>
    </row>
    <row r="93" spans="1:11" x14ac:dyDescent="0.3">
      <c r="A93" t="s">
        <v>255</v>
      </c>
      <c r="B93" t="s">
        <v>256</v>
      </c>
      <c r="C93" t="s">
        <v>25</v>
      </c>
      <c r="D93" t="s">
        <v>72</v>
      </c>
      <c r="E93" t="s">
        <v>49</v>
      </c>
      <c r="F93" t="s">
        <v>182</v>
      </c>
      <c r="G93">
        <v>3</v>
      </c>
      <c r="H93">
        <v>800</v>
      </c>
      <c r="I93">
        <v>0</v>
      </c>
      <c r="J93" t="s">
        <v>55</v>
      </c>
      <c r="K93" t="s">
        <v>30</v>
      </c>
    </row>
    <row r="94" spans="1:11" x14ac:dyDescent="0.3">
      <c r="A94" t="s">
        <v>257</v>
      </c>
      <c r="B94" t="s">
        <v>258</v>
      </c>
      <c r="C94" t="s">
        <v>154</v>
      </c>
      <c r="D94" t="s">
        <v>14</v>
      </c>
      <c r="E94" t="s">
        <v>34</v>
      </c>
      <c r="F94" t="s">
        <v>62</v>
      </c>
      <c r="G94">
        <v>3</v>
      </c>
      <c r="H94">
        <v>900</v>
      </c>
      <c r="I94">
        <v>20</v>
      </c>
      <c r="J94" t="s">
        <v>55</v>
      </c>
      <c r="K94" t="s">
        <v>18</v>
      </c>
    </row>
    <row r="95" spans="1:11" x14ac:dyDescent="0.3">
      <c r="A95" t="s">
        <v>259</v>
      </c>
      <c r="B95" t="s">
        <v>260</v>
      </c>
      <c r="C95" t="s">
        <v>249</v>
      </c>
      <c r="D95" t="s">
        <v>14</v>
      </c>
      <c r="E95" t="s">
        <v>15</v>
      </c>
      <c r="F95" t="s">
        <v>45</v>
      </c>
      <c r="G95">
        <v>3</v>
      </c>
      <c r="H95">
        <v>4500</v>
      </c>
      <c r="I95">
        <v>5</v>
      </c>
      <c r="J95" t="s">
        <v>17</v>
      </c>
      <c r="K95" t="s">
        <v>36</v>
      </c>
    </row>
    <row r="96" spans="1:11" x14ac:dyDescent="0.3">
      <c r="A96" t="s">
        <v>261</v>
      </c>
      <c r="B96" t="s">
        <v>262</v>
      </c>
      <c r="C96" t="s">
        <v>88</v>
      </c>
      <c r="D96" t="s">
        <v>26</v>
      </c>
      <c r="E96" t="s">
        <v>49</v>
      </c>
      <c r="F96" t="s">
        <v>50</v>
      </c>
      <c r="G96">
        <v>4</v>
      </c>
      <c r="H96">
        <v>2200</v>
      </c>
      <c r="I96">
        <v>0</v>
      </c>
      <c r="J96" t="s">
        <v>29</v>
      </c>
      <c r="K96" t="s">
        <v>30</v>
      </c>
    </row>
    <row r="97" spans="1:11" x14ac:dyDescent="0.3">
      <c r="A97" t="s">
        <v>263</v>
      </c>
      <c r="B97" t="s">
        <v>264</v>
      </c>
      <c r="C97" t="s">
        <v>99</v>
      </c>
      <c r="D97" t="s">
        <v>72</v>
      </c>
      <c r="E97" t="s">
        <v>65</v>
      </c>
      <c r="F97" t="s">
        <v>96</v>
      </c>
      <c r="G97">
        <v>4</v>
      </c>
      <c r="H97">
        <v>900</v>
      </c>
      <c r="I97">
        <v>0</v>
      </c>
      <c r="J97" t="s">
        <v>17</v>
      </c>
      <c r="K97" t="s">
        <v>18</v>
      </c>
    </row>
    <row r="98" spans="1:11" x14ac:dyDescent="0.3">
      <c r="A98" t="s">
        <v>265</v>
      </c>
      <c r="B98" t="s">
        <v>266</v>
      </c>
      <c r="C98" t="s">
        <v>220</v>
      </c>
      <c r="D98" t="s">
        <v>40</v>
      </c>
      <c r="E98" t="s">
        <v>34</v>
      </c>
      <c r="F98" t="s">
        <v>81</v>
      </c>
      <c r="G98">
        <v>2</v>
      </c>
      <c r="H98">
        <v>700</v>
      </c>
      <c r="I98">
        <v>20</v>
      </c>
      <c r="J98" t="s">
        <v>17</v>
      </c>
      <c r="K98" t="s">
        <v>30</v>
      </c>
    </row>
    <row r="99" spans="1:11" x14ac:dyDescent="0.3">
      <c r="A99" t="s">
        <v>267</v>
      </c>
      <c r="B99" t="s">
        <v>268</v>
      </c>
      <c r="C99" t="s">
        <v>196</v>
      </c>
      <c r="D99" t="s">
        <v>72</v>
      </c>
      <c r="E99" t="s">
        <v>27</v>
      </c>
      <c r="F99" t="s">
        <v>89</v>
      </c>
      <c r="G99">
        <v>3</v>
      </c>
      <c r="H99">
        <v>450</v>
      </c>
      <c r="I99">
        <v>5</v>
      </c>
      <c r="K99" t="s">
        <v>18</v>
      </c>
    </row>
    <row r="100" spans="1:11" x14ac:dyDescent="0.3">
      <c r="A100" t="s">
        <v>269</v>
      </c>
      <c r="B100" t="s">
        <v>161</v>
      </c>
      <c r="C100" t="s">
        <v>109</v>
      </c>
      <c r="D100" t="s">
        <v>26</v>
      </c>
      <c r="E100" t="s">
        <v>15</v>
      </c>
      <c r="F100" t="s">
        <v>146</v>
      </c>
      <c r="G100">
        <v>3</v>
      </c>
      <c r="H100">
        <v>2500</v>
      </c>
      <c r="I100">
        <v>0</v>
      </c>
      <c r="J100" t="s">
        <v>55</v>
      </c>
      <c r="K100" t="s">
        <v>30</v>
      </c>
    </row>
    <row r="101" spans="1:11" x14ac:dyDescent="0.3">
      <c r="A101" t="s">
        <v>270</v>
      </c>
      <c r="B101" t="s">
        <v>271</v>
      </c>
      <c r="C101" t="s">
        <v>154</v>
      </c>
      <c r="D101" t="s">
        <v>72</v>
      </c>
      <c r="E101" t="s">
        <v>65</v>
      </c>
      <c r="F101" t="s">
        <v>66</v>
      </c>
      <c r="G101">
        <v>5</v>
      </c>
      <c r="H101">
        <v>850</v>
      </c>
      <c r="I101">
        <v>0</v>
      </c>
      <c r="J101" t="s">
        <v>29</v>
      </c>
      <c r="K101" t="s">
        <v>36</v>
      </c>
    </row>
    <row r="102" spans="1:11" x14ac:dyDescent="0.3">
      <c r="A102" t="s">
        <v>272</v>
      </c>
      <c r="B102" t="s">
        <v>273</v>
      </c>
      <c r="C102" t="s">
        <v>142</v>
      </c>
      <c r="D102" t="s">
        <v>72</v>
      </c>
      <c r="E102" t="s">
        <v>34</v>
      </c>
      <c r="F102" t="s">
        <v>41</v>
      </c>
      <c r="G102">
        <v>5</v>
      </c>
      <c r="H102">
        <v>1600</v>
      </c>
      <c r="I102">
        <v>0</v>
      </c>
      <c r="J102" t="s">
        <v>29</v>
      </c>
      <c r="K102" t="s">
        <v>18</v>
      </c>
    </row>
    <row r="103" spans="1:11" x14ac:dyDescent="0.3">
      <c r="A103" t="s">
        <v>274</v>
      </c>
      <c r="B103" t="s">
        <v>275</v>
      </c>
      <c r="C103" t="s">
        <v>54</v>
      </c>
      <c r="D103" t="s">
        <v>72</v>
      </c>
      <c r="E103" t="s">
        <v>15</v>
      </c>
      <c r="F103" t="s">
        <v>73</v>
      </c>
      <c r="G103">
        <v>4</v>
      </c>
      <c r="H103">
        <v>2200</v>
      </c>
      <c r="I103">
        <v>0</v>
      </c>
      <c r="J103" t="s">
        <v>55</v>
      </c>
      <c r="K103" t="s">
        <v>30</v>
      </c>
    </row>
    <row r="104" spans="1:11" x14ac:dyDescent="0.3">
      <c r="A104" t="s">
        <v>276</v>
      </c>
      <c r="B104" t="s">
        <v>271</v>
      </c>
      <c r="C104" t="s">
        <v>25</v>
      </c>
      <c r="D104" t="s">
        <v>72</v>
      </c>
      <c r="E104" t="s">
        <v>27</v>
      </c>
      <c r="F104" t="s">
        <v>138</v>
      </c>
      <c r="G104">
        <v>1</v>
      </c>
      <c r="H104">
        <v>650</v>
      </c>
      <c r="I104">
        <v>0</v>
      </c>
      <c r="J104" t="s">
        <v>55</v>
      </c>
      <c r="K104" t="s">
        <v>22</v>
      </c>
    </row>
    <row r="105" spans="1:11" x14ac:dyDescent="0.3">
      <c r="A105" t="s">
        <v>277</v>
      </c>
      <c r="B105" t="s">
        <v>278</v>
      </c>
      <c r="C105" t="s">
        <v>99</v>
      </c>
      <c r="D105" t="s">
        <v>72</v>
      </c>
      <c r="E105" t="s">
        <v>34</v>
      </c>
      <c r="F105" t="s">
        <v>81</v>
      </c>
      <c r="G105">
        <v>1</v>
      </c>
      <c r="H105">
        <v>700</v>
      </c>
      <c r="I105">
        <v>5</v>
      </c>
      <c r="J105" t="s">
        <v>17</v>
      </c>
      <c r="K105" t="s">
        <v>18</v>
      </c>
    </row>
    <row r="106" spans="1:11" x14ac:dyDescent="0.3">
      <c r="A106" t="s">
        <v>279</v>
      </c>
      <c r="B106" t="s">
        <v>280</v>
      </c>
      <c r="C106" t="s">
        <v>84</v>
      </c>
      <c r="D106" t="s">
        <v>26</v>
      </c>
      <c r="E106" t="s">
        <v>15</v>
      </c>
      <c r="F106" t="s">
        <v>73</v>
      </c>
      <c r="G106">
        <v>5</v>
      </c>
      <c r="H106">
        <v>2200</v>
      </c>
      <c r="I106">
        <v>10</v>
      </c>
      <c r="J106" t="s">
        <v>29</v>
      </c>
      <c r="K106" t="s">
        <v>18</v>
      </c>
    </row>
    <row r="107" spans="1:11" x14ac:dyDescent="0.3">
      <c r="A107" t="s">
        <v>281</v>
      </c>
      <c r="B107" t="s">
        <v>121</v>
      </c>
      <c r="C107" t="s">
        <v>99</v>
      </c>
      <c r="E107" t="s">
        <v>65</v>
      </c>
      <c r="F107" t="s">
        <v>106</v>
      </c>
      <c r="G107">
        <v>4</v>
      </c>
      <c r="H107">
        <v>750</v>
      </c>
      <c r="I107">
        <v>5</v>
      </c>
      <c r="J107" t="s">
        <v>55</v>
      </c>
      <c r="K107" t="s">
        <v>36</v>
      </c>
    </row>
    <row r="108" spans="1:11" x14ac:dyDescent="0.3">
      <c r="A108" t="s">
        <v>282</v>
      </c>
      <c r="B108" t="s">
        <v>144</v>
      </c>
      <c r="C108" t="s">
        <v>84</v>
      </c>
      <c r="D108" t="s">
        <v>26</v>
      </c>
      <c r="E108" t="s">
        <v>34</v>
      </c>
      <c r="F108" t="s">
        <v>62</v>
      </c>
      <c r="G108">
        <v>1</v>
      </c>
      <c r="H108">
        <v>900</v>
      </c>
      <c r="I108">
        <v>10</v>
      </c>
      <c r="J108" t="s">
        <v>51</v>
      </c>
      <c r="K108" t="s">
        <v>18</v>
      </c>
    </row>
    <row r="109" spans="1:11" x14ac:dyDescent="0.3">
      <c r="A109" t="s">
        <v>283</v>
      </c>
      <c r="B109" t="s">
        <v>284</v>
      </c>
      <c r="C109" t="s">
        <v>196</v>
      </c>
      <c r="D109" t="s">
        <v>26</v>
      </c>
      <c r="E109" t="s">
        <v>49</v>
      </c>
      <c r="F109" t="s">
        <v>58</v>
      </c>
      <c r="G109">
        <v>3</v>
      </c>
      <c r="H109">
        <v>3200</v>
      </c>
      <c r="I109">
        <v>20</v>
      </c>
      <c r="J109" t="s">
        <v>29</v>
      </c>
      <c r="K109" t="s">
        <v>18</v>
      </c>
    </row>
    <row r="110" spans="1:11" x14ac:dyDescent="0.3">
      <c r="A110" t="s">
        <v>285</v>
      </c>
      <c r="B110" t="s">
        <v>173</v>
      </c>
      <c r="C110" t="s">
        <v>13</v>
      </c>
      <c r="D110" t="s">
        <v>72</v>
      </c>
      <c r="E110" t="s">
        <v>34</v>
      </c>
      <c r="F110" t="s">
        <v>35</v>
      </c>
      <c r="G110">
        <v>2</v>
      </c>
      <c r="H110">
        <v>3500</v>
      </c>
      <c r="I110">
        <v>15</v>
      </c>
      <c r="J110" t="s">
        <v>17</v>
      </c>
      <c r="K110" t="s">
        <v>30</v>
      </c>
    </row>
    <row r="111" spans="1:11" x14ac:dyDescent="0.3">
      <c r="A111" t="s">
        <v>286</v>
      </c>
      <c r="B111" t="s">
        <v>287</v>
      </c>
      <c r="C111" t="s">
        <v>154</v>
      </c>
      <c r="D111" t="s">
        <v>14</v>
      </c>
      <c r="E111" t="s">
        <v>65</v>
      </c>
      <c r="F111" t="s">
        <v>66</v>
      </c>
      <c r="G111">
        <v>4</v>
      </c>
      <c r="H111">
        <v>850</v>
      </c>
      <c r="I111">
        <v>0</v>
      </c>
      <c r="J111" t="s">
        <v>55</v>
      </c>
      <c r="K111" t="s">
        <v>30</v>
      </c>
    </row>
    <row r="112" spans="1:11" x14ac:dyDescent="0.3">
      <c r="A112" t="s">
        <v>288</v>
      </c>
      <c r="B112" t="s">
        <v>116</v>
      </c>
      <c r="C112" t="s">
        <v>166</v>
      </c>
      <c r="D112" t="s">
        <v>72</v>
      </c>
      <c r="E112" t="s">
        <v>15</v>
      </c>
      <c r="F112" t="s">
        <v>146</v>
      </c>
      <c r="G112">
        <v>1</v>
      </c>
      <c r="H112">
        <v>2500</v>
      </c>
      <c r="I112">
        <v>5</v>
      </c>
      <c r="J112" t="s">
        <v>29</v>
      </c>
      <c r="K112" t="s">
        <v>22</v>
      </c>
    </row>
    <row r="113" spans="1:11" x14ac:dyDescent="0.3">
      <c r="A113" t="s">
        <v>289</v>
      </c>
      <c r="B113" t="s">
        <v>141</v>
      </c>
      <c r="C113" t="s">
        <v>179</v>
      </c>
      <c r="D113" t="s">
        <v>72</v>
      </c>
      <c r="E113" t="s">
        <v>15</v>
      </c>
      <c r="F113" t="s">
        <v>146</v>
      </c>
      <c r="G113">
        <v>1</v>
      </c>
      <c r="H113">
        <v>2500</v>
      </c>
      <c r="I113">
        <v>10</v>
      </c>
      <c r="J113" t="s">
        <v>29</v>
      </c>
      <c r="K113" t="s">
        <v>30</v>
      </c>
    </row>
    <row r="114" spans="1:11" x14ac:dyDescent="0.3">
      <c r="A114" t="s">
        <v>290</v>
      </c>
      <c r="B114" t="s">
        <v>291</v>
      </c>
      <c r="C114" t="s">
        <v>215</v>
      </c>
      <c r="D114" t="s">
        <v>40</v>
      </c>
      <c r="E114" t="s">
        <v>65</v>
      </c>
      <c r="F114" t="s">
        <v>92</v>
      </c>
      <c r="G114">
        <v>2</v>
      </c>
      <c r="H114">
        <v>700</v>
      </c>
      <c r="I114">
        <v>10</v>
      </c>
      <c r="J114" t="s">
        <v>55</v>
      </c>
      <c r="K114" t="s">
        <v>36</v>
      </c>
    </row>
    <row r="115" spans="1:11" x14ac:dyDescent="0.3">
      <c r="A115" t="s">
        <v>292</v>
      </c>
      <c r="B115" t="s">
        <v>293</v>
      </c>
      <c r="C115" t="s">
        <v>133</v>
      </c>
      <c r="D115" t="s">
        <v>40</v>
      </c>
      <c r="E115" t="s">
        <v>65</v>
      </c>
      <c r="F115" t="s">
        <v>85</v>
      </c>
      <c r="G115">
        <v>4</v>
      </c>
      <c r="H115">
        <v>650</v>
      </c>
      <c r="I115">
        <v>5</v>
      </c>
      <c r="J115" t="s">
        <v>51</v>
      </c>
      <c r="K115" t="s">
        <v>36</v>
      </c>
    </row>
    <row r="116" spans="1:11" x14ac:dyDescent="0.3">
      <c r="A116" t="s">
        <v>294</v>
      </c>
      <c r="B116" t="s">
        <v>124</v>
      </c>
      <c r="C116" t="s">
        <v>122</v>
      </c>
      <c r="D116" t="s">
        <v>26</v>
      </c>
      <c r="E116" t="s">
        <v>15</v>
      </c>
      <c r="F116" t="s">
        <v>78</v>
      </c>
      <c r="G116">
        <v>3</v>
      </c>
      <c r="H116">
        <v>900</v>
      </c>
      <c r="I116">
        <v>15</v>
      </c>
      <c r="J116" t="s">
        <v>55</v>
      </c>
      <c r="K116" t="s">
        <v>22</v>
      </c>
    </row>
    <row r="117" spans="1:11" x14ac:dyDescent="0.3">
      <c r="A117" t="s">
        <v>295</v>
      </c>
      <c r="B117" t="s">
        <v>296</v>
      </c>
      <c r="C117" t="s">
        <v>154</v>
      </c>
      <c r="D117" t="s">
        <v>14</v>
      </c>
      <c r="E117" t="s">
        <v>27</v>
      </c>
      <c r="F117" t="s">
        <v>28</v>
      </c>
      <c r="G117">
        <v>2</v>
      </c>
      <c r="H117">
        <v>500</v>
      </c>
      <c r="I117">
        <v>5</v>
      </c>
      <c r="J117" t="s">
        <v>17</v>
      </c>
      <c r="K117" t="s">
        <v>18</v>
      </c>
    </row>
    <row r="118" spans="1:11" x14ac:dyDescent="0.3">
      <c r="A118" t="s">
        <v>297</v>
      </c>
      <c r="B118" t="s">
        <v>280</v>
      </c>
      <c r="C118" t="s">
        <v>84</v>
      </c>
      <c r="D118" t="s">
        <v>14</v>
      </c>
      <c r="E118" t="s">
        <v>27</v>
      </c>
      <c r="F118" t="s">
        <v>138</v>
      </c>
      <c r="G118">
        <v>2</v>
      </c>
      <c r="H118">
        <v>650</v>
      </c>
      <c r="I118">
        <v>15</v>
      </c>
      <c r="J118" t="s">
        <v>51</v>
      </c>
      <c r="K118" t="s">
        <v>18</v>
      </c>
    </row>
    <row r="119" spans="1:11" x14ac:dyDescent="0.3">
      <c r="A119" t="s">
        <v>298</v>
      </c>
      <c r="B119" t="s">
        <v>217</v>
      </c>
      <c r="C119" t="s">
        <v>95</v>
      </c>
      <c r="D119" t="s">
        <v>26</v>
      </c>
      <c r="E119" t="s">
        <v>34</v>
      </c>
      <c r="F119" t="s">
        <v>100</v>
      </c>
      <c r="G119">
        <v>5</v>
      </c>
      <c r="H119">
        <v>1200</v>
      </c>
      <c r="I119">
        <v>5</v>
      </c>
      <c r="J119" t="s">
        <v>17</v>
      </c>
      <c r="K119" t="s">
        <v>18</v>
      </c>
    </row>
    <row r="120" spans="1:11" x14ac:dyDescent="0.3">
      <c r="A120" t="s">
        <v>299</v>
      </c>
      <c r="B120" t="s">
        <v>253</v>
      </c>
      <c r="C120" t="s">
        <v>249</v>
      </c>
      <c r="D120" t="s">
        <v>72</v>
      </c>
      <c r="E120" t="s">
        <v>34</v>
      </c>
      <c r="F120" t="s">
        <v>81</v>
      </c>
      <c r="G120">
        <v>3</v>
      </c>
      <c r="H120">
        <v>700</v>
      </c>
      <c r="I120">
        <v>15</v>
      </c>
      <c r="J120" t="s">
        <v>51</v>
      </c>
      <c r="K120" t="s">
        <v>22</v>
      </c>
    </row>
    <row r="121" spans="1:11" x14ac:dyDescent="0.3">
      <c r="A121" t="s">
        <v>300</v>
      </c>
      <c r="B121" t="s">
        <v>225</v>
      </c>
      <c r="C121" t="s">
        <v>13</v>
      </c>
      <c r="D121" t="s">
        <v>72</v>
      </c>
      <c r="E121" t="s">
        <v>65</v>
      </c>
      <c r="F121" t="s">
        <v>66</v>
      </c>
      <c r="G121">
        <v>5</v>
      </c>
      <c r="H121">
        <v>850</v>
      </c>
      <c r="I121">
        <v>10</v>
      </c>
      <c r="J121" t="s">
        <v>51</v>
      </c>
      <c r="K121" t="s">
        <v>30</v>
      </c>
    </row>
    <row r="122" spans="1:11" x14ac:dyDescent="0.3">
      <c r="A122" t="s">
        <v>301</v>
      </c>
      <c r="B122" t="s">
        <v>12</v>
      </c>
      <c r="C122" t="s">
        <v>220</v>
      </c>
      <c r="D122" t="s">
        <v>151</v>
      </c>
      <c r="E122" t="s">
        <v>15</v>
      </c>
      <c r="F122" t="s">
        <v>146</v>
      </c>
      <c r="G122">
        <v>5</v>
      </c>
      <c r="H122">
        <v>2500</v>
      </c>
      <c r="I122">
        <v>15</v>
      </c>
      <c r="J122" t="s">
        <v>51</v>
      </c>
      <c r="K122" t="s">
        <v>22</v>
      </c>
    </row>
    <row r="123" spans="1:11" x14ac:dyDescent="0.3">
      <c r="A123" t="s">
        <v>302</v>
      </c>
      <c r="B123" t="s">
        <v>24</v>
      </c>
      <c r="C123" t="s">
        <v>249</v>
      </c>
      <c r="D123" t="s">
        <v>14</v>
      </c>
      <c r="E123" t="s">
        <v>27</v>
      </c>
      <c r="F123" t="s">
        <v>171</v>
      </c>
      <c r="G123">
        <v>5</v>
      </c>
      <c r="H123">
        <v>550</v>
      </c>
      <c r="I123">
        <v>10</v>
      </c>
      <c r="J123" t="s">
        <v>55</v>
      </c>
      <c r="K123" t="s">
        <v>36</v>
      </c>
    </row>
    <row r="124" spans="1:11" x14ac:dyDescent="0.3">
      <c r="A124" t="s">
        <v>303</v>
      </c>
      <c r="B124" t="s">
        <v>94</v>
      </c>
      <c r="C124" t="s">
        <v>117</v>
      </c>
      <c r="D124" t="s">
        <v>26</v>
      </c>
      <c r="E124" t="s">
        <v>15</v>
      </c>
      <c r="F124" t="s">
        <v>78</v>
      </c>
      <c r="G124">
        <v>2</v>
      </c>
      <c r="H124">
        <v>900</v>
      </c>
      <c r="I124">
        <v>0</v>
      </c>
      <c r="J124" t="s">
        <v>51</v>
      </c>
      <c r="K124" t="s">
        <v>30</v>
      </c>
    </row>
    <row r="125" spans="1:11" x14ac:dyDescent="0.3">
      <c r="A125" t="s">
        <v>304</v>
      </c>
      <c r="B125" t="s">
        <v>305</v>
      </c>
      <c r="C125" t="s">
        <v>105</v>
      </c>
      <c r="D125" t="s">
        <v>26</v>
      </c>
      <c r="E125" t="s">
        <v>65</v>
      </c>
      <c r="F125" t="s">
        <v>106</v>
      </c>
      <c r="G125">
        <v>5</v>
      </c>
      <c r="H125">
        <v>750</v>
      </c>
      <c r="I125">
        <v>20</v>
      </c>
      <c r="J125" t="s">
        <v>51</v>
      </c>
      <c r="K125" t="s">
        <v>22</v>
      </c>
    </row>
    <row r="126" spans="1:11" x14ac:dyDescent="0.3">
      <c r="A126" t="s">
        <v>306</v>
      </c>
      <c r="B126" t="s">
        <v>43</v>
      </c>
      <c r="C126" t="s">
        <v>88</v>
      </c>
      <c r="D126" t="s">
        <v>26</v>
      </c>
      <c r="E126" t="s">
        <v>34</v>
      </c>
      <c r="F126" t="s">
        <v>62</v>
      </c>
      <c r="G126">
        <v>1</v>
      </c>
      <c r="H126">
        <v>900</v>
      </c>
      <c r="I126">
        <v>15</v>
      </c>
      <c r="J126" t="s">
        <v>17</v>
      </c>
      <c r="K126" t="s">
        <v>22</v>
      </c>
    </row>
    <row r="127" spans="1:11" x14ac:dyDescent="0.3">
      <c r="A127" t="s">
        <v>307</v>
      </c>
      <c r="B127" t="s">
        <v>251</v>
      </c>
      <c r="C127" t="s">
        <v>54</v>
      </c>
      <c r="D127" t="s">
        <v>40</v>
      </c>
      <c r="E127" t="s">
        <v>49</v>
      </c>
      <c r="F127" t="s">
        <v>58</v>
      </c>
      <c r="G127">
        <v>4</v>
      </c>
      <c r="H127">
        <v>3200</v>
      </c>
      <c r="I127">
        <v>0</v>
      </c>
      <c r="J127" t="s">
        <v>51</v>
      </c>
      <c r="K127" t="s">
        <v>36</v>
      </c>
    </row>
    <row r="128" spans="1:11" x14ac:dyDescent="0.3">
      <c r="A128" t="s">
        <v>308</v>
      </c>
      <c r="B128" t="s">
        <v>309</v>
      </c>
      <c r="C128" t="s">
        <v>88</v>
      </c>
      <c r="D128" t="s">
        <v>26</v>
      </c>
      <c r="E128" t="s">
        <v>65</v>
      </c>
      <c r="F128" t="s">
        <v>96</v>
      </c>
      <c r="G128">
        <v>5</v>
      </c>
      <c r="H128">
        <v>900</v>
      </c>
      <c r="I128">
        <v>15</v>
      </c>
      <c r="J128" t="s">
        <v>51</v>
      </c>
      <c r="K128" t="s">
        <v>36</v>
      </c>
    </row>
    <row r="129" spans="1:11" x14ac:dyDescent="0.3">
      <c r="A129" t="s">
        <v>310</v>
      </c>
      <c r="B129" t="s">
        <v>184</v>
      </c>
      <c r="C129" t="s">
        <v>215</v>
      </c>
      <c r="D129" t="s">
        <v>26</v>
      </c>
      <c r="E129" t="s">
        <v>49</v>
      </c>
      <c r="F129" t="s">
        <v>58</v>
      </c>
      <c r="G129">
        <v>5</v>
      </c>
      <c r="H129">
        <v>3200</v>
      </c>
      <c r="I129">
        <v>5</v>
      </c>
      <c r="J129" t="s">
        <v>17</v>
      </c>
      <c r="K129" t="s">
        <v>18</v>
      </c>
    </row>
    <row r="130" spans="1:11" x14ac:dyDescent="0.3">
      <c r="A130" t="s">
        <v>311</v>
      </c>
      <c r="B130" t="s">
        <v>312</v>
      </c>
      <c r="C130" t="s">
        <v>105</v>
      </c>
      <c r="D130" t="s">
        <v>40</v>
      </c>
      <c r="E130" t="s">
        <v>34</v>
      </c>
      <c r="F130" t="s">
        <v>62</v>
      </c>
      <c r="G130">
        <v>1</v>
      </c>
      <c r="H130">
        <v>900</v>
      </c>
      <c r="I130">
        <v>10</v>
      </c>
      <c r="J130" t="s">
        <v>29</v>
      </c>
      <c r="K130" t="s">
        <v>36</v>
      </c>
    </row>
    <row r="131" spans="1:11" x14ac:dyDescent="0.3">
      <c r="A131" t="s">
        <v>313</v>
      </c>
      <c r="B131" t="s">
        <v>284</v>
      </c>
      <c r="C131" t="s">
        <v>105</v>
      </c>
      <c r="D131" t="s">
        <v>72</v>
      </c>
      <c r="E131" t="s">
        <v>15</v>
      </c>
      <c r="F131" t="s">
        <v>73</v>
      </c>
      <c r="G131">
        <v>4</v>
      </c>
      <c r="H131">
        <v>2200</v>
      </c>
      <c r="I131">
        <v>10</v>
      </c>
      <c r="J131" t="s">
        <v>29</v>
      </c>
      <c r="K131" t="s">
        <v>22</v>
      </c>
    </row>
    <row r="132" spans="1:11" x14ac:dyDescent="0.3">
      <c r="A132" t="s">
        <v>314</v>
      </c>
      <c r="B132" t="s">
        <v>235</v>
      </c>
      <c r="C132" t="s">
        <v>215</v>
      </c>
      <c r="D132" t="s">
        <v>72</v>
      </c>
      <c r="E132" t="s">
        <v>65</v>
      </c>
      <c r="F132" t="s">
        <v>85</v>
      </c>
      <c r="G132">
        <v>3</v>
      </c>
      <c r="H132">
        <v>650</v>
      </c>
      <c r="I132">
        <v>0</v>
      </c>
      <c r="J132" t="s">
        <v>51</v>
      </c>
      <c r="K132" t="s">
        <v>22</v>
      </c>
    </row>
    <row r="133" spans="1:11" x14ac:dyDescent="0.3">
      <c r="A133" t="s">
        <v>315</v>
      </c>
      <c r="B133" t="s">
        <v>316</v>
      </c>
      <c r="C133" t="s">
        <v>48</v>
      </c>
      <c r="D133" t="s">
        <v>26</v>
      </c>
      <c r="E133" t="s">
        <v>65</v>
      </c>
      <c r="F133" t="s">
        <v>66</v>
      </c>
      <c r="G133">
        <v>1</v>
      </c>
      <c r="H133">
        <v>850</v>
      </c>
      <c r="I133">
        <v>10</v>
      </c>
      <c r="J133" t="s">
        <v>51</v>
      </c>
      <c r="K133" t="s">
        <v>36</v>
      </c>
    </row>
    <row r="134" spans="1:11" x14ac:dyDescent="0.3">
      <c r="A134" t="s">
        <v>317</v>
      </c>
      <c r="B134" t="s">
        <v>318</v>
      </c>
      <c r="C134" t="s">
        <v>142</v>
      </c>
      <c r="D134" t="s">
        <v>72</v>
      </c>
      <c r="E134" t="s">
        <v>65</v>
      </c>
      <c r="F134" t="s">
        <v>96</v>
      </c>
      <c r="G134">
        <v>1</v>
      </c>
      <c r="H134">
        <v>900</v>
      </c>
      <c r="I134">
        <v>5</v>
      </c>
      <c r="J134" t="s">
        <v>17</v>
      </c>
      <c r="K134" t="s">
        <v>36</v>
      </c>
    </row>
    <row r="135" spans="1:11" x14ac:dyDescent="0.3">
      <c r="A135" t="s">
        <v>319</v>
      </c>
      <c r="B135" t="s">
        <v>320</v>
      </c>
      <c r="C135" t="s">
        <v>159</v>
      </c>
      <c r="D135" t="s">
        <v>14</v>
      </c>
      <c r="E135" t="s">
        <v>34</v>
      </c>
      <c r="F135" t="s">
        <v>35</v>
      </c>
      <c r="G135">
        <v>1</v>
      </c>
      <c r="H135">
        <v>3500</v>
      </c>
      <c r="I135">
        <v>20</v>
      </c>
      <c r="J135" t="s">
        <v>55</v>
      </c>
      <c r="K135" t="s">
        <v>22</v>
      </c>
    </row>
    <row r="136" spans="1:11" x14ac:dyDescent="0.3">
      <c r="A136" t="s">
        <v>321</v>
      </c>
      <c r="B136" t="s">
        <v>322</v>
      </c>
      <c r="C136" t="s">
        <v>159</v>
      </c>
      <c r="D136" t="s">
        <v>40</v>
      </c>
      <c r="E136" t="s">
        <v>49</v>
      </c>
      <c r="F136" t="s">
        <v>50</v>
      </c>
      <c r="G136">
        <v>3</v>
      </c>
      <c r="H136">
        <v>2200</v>
      </c>
      <c r="I136">
        <v>5</v>
      </c>
      <c r="J136" t="s">
        <v>55</v>
      </c>
      <c r="K136" t="s">
        <v>30</v>
      </c>
    </row>
    <row r="137" spans="1:11" x14ac:dyDescent="0.3">
      <c r="A137" t="s">
        <v>323</v>
      </c>
      <c r="B137" t="s">
        <v>170</v>
      </c>
      <c r="C137" t="s">
        <v>48</v>
      </c>
      <c r="D137" t="s">
        <v>40</v>
      </c>
      <c r="E137" t="s">
        <v>49</v>
      </c>
      <c r="F137" t="s">
        <v>182</v>
      </c>
      <c r="G137">
        <v>2</v>
      </c>
      <c r="H137">
        <v>800</v>
      </c>
      <c r="I137">
        <v>0</v>
      </c>
      <c r="J137" t="s">
        <v>51</v>
      </c>
      <c r="K137" t="s">
        <v>22</v>
      </c>
    </row>
    <row r="138" spans="1:11" x14ac:dyDescent="0.3">
      <c r="A138" t="s">
        <v>324</v>
      </c>
      <c r="B138" t="s">
        <v>325</v>
      </c>
      <c r="C138" t="s">
        <v>71</v>
      </c>
      <c r="D138" t="s">
        <v>26</v>
      </c>
      <c r="E138" t="s">
        <v>27</v>
      </c>
      <c r="F138" t="s">
        <v>171</v>
      </c>
      <c r="G138">
        <v>1</v>
      </c>
      <c r="H138">
        <v>550</v>
      </c>
      <c r="I138">
        <v>5</v>
      </c>
      <c r="J138" t="s">
        <v>29</v>
      </c>
      <c r="K138" t="s">
        <v>36</v>
      </c>
    </row>
    <row r="139" spans="1:11" x14ac:dyDescent="0.3">
      <c r="A139" t="s">
        <v>326</v>
      </c>
      <c r="B139" t="s">
        <v>327</v>
      </c>
      <c r="C139" t="s">
        <v>33</v>
      </c>
      <c r="D139" t="s">
        <v>26</v>
      </c>
      <c r="E139" t="s">
        <v>15</v>
      </c>
      <c r="F139" t="s">
        <v>146</v>
      </c>
      <c r="G139">
        <v>5</v>
      </c>
      <c r="H139">
        <v>2500</v>
      </c>
      <c r="I139">
        <v>20</v>
      </c>
      <c r="J139" t="s">
        <v>17</v>
      </c>
      <c r="K139" t="s">
        <v>18</v>
      </c>
    </row>
    <row r="140" spans="1:11" x14ac:dyDescent="0.3">
      <c r="A140" t="s">
        <v>328</v>
      </c>
      <c r="B140" t="s">
        <v>227</v>
      </c>
      <c r="C140" t="s">
        <v>117</v>
      </c>
      <c r="D140" t="s">
        <v>26</v>
      </c>
      <c r="E140" t="s">
        <v>27</v>
      </c>
      <c r="F140" t="s">
        <v>138</v>
      </c>
      <c r="G140">
        <v>4</v>
      </c>
      <c r="H140">
        <v>650</v>
      </c>
      <c r="I140">
        <v>0</v>
      </c>
      <c r="J140" t="s">
        <v>17</v>
      </c>
      <c r="K140" t="s">
        <v>18</v>
      </c>
    </row>
    <row r="141" spans="1:11" x14ac:dyDescent="0.3">
      <c r="A141" t="s">
        <v>329</v>
      </c>
      <c r="B141" t="s">
        <v>330</v>
      </c>
      <c r="C141" t="s">
        <v>142</v>
      </c>
      <c r="D141" t="s">
        <v>72</v>
      </c>
      <c r="E141" t="s">
        <v>65</v>
      </c>
      <c r="F141" t="s">
        <v>66</v>
      </c>
      <c r="G141">
        <v>4</v>
      </c>
      <c r="H141">
        <v>850</v>
      </c>
      <c r="I141">
        <v>0</v>
      </c>
      <c r="J141" t="s">
        <v>17</v>
      </c>
      <c r="K141" t="s">
        <v>30</v>
      </c>
    </row>
    <row r="142" spans="1:11" x14ac:dyDescent="0.3">
      <c r="A142" t="s">
        <v>331</v>
      </c>
      <c r="B142" t="s">
        <v>200</v>
      </c>
      <c r="C142" t="s">
        <v>105</v>
      </c>
      <c r="D142" t="s">
        <v>26</v>
      </c>
      <c r="E142" t="s">
        <v>27</v>
      </c>
      <c r="F142" t="s">
        <v>138</v>
      </c>
      <c r="G142">
        <v>5</v>
      </c>
      <c r="H142">
        <v>650</v>
      </c>
      <c r="I142">
        <v>20</v>
      </c>
      <c r="J142" t="s">
        <v>51</v>
      </c>
      <c r="K142" t="s">
        <v>18</v>
      </c>
    </row>
    <row r="143" spans="1:11" x14ac:dyDescent="0.3">
      <c r="A143" t="s">
        <v>332</v>
      </c>
      <c r="B143" t="s">
        <v>43</v>
      </c>
      <c r="C143" t="s">
        <v>25</v>
      </c>
      <c r="D143" t="s">
        <v>72</v>
      </c>
      <c r="E143" t="s">
        <v>27</v>
      </c>
      <c r="F143" t="s">
        <v>128</v>
      </c>
      <c r="G143">
        <v>1</v>
      </c>
      <c r="H143">
        <v>1800</v>
      </c>
      <c r="I143">
        <v>0</v>
      </c>
      <c r="J143" t="s">
        <v>55</v>
      </c>
      <c r="K143" t="s">
        <v>18</v>
      </c>
    </row>
    <row r="144" spans="1:11" x14ac:dyDescent="0.3">
      <c r="A144" t="s">
        <v>333</v>
      </c>
      <c r="B144" t="s">
        <v>334</v>
      </c>
      <c r="C144" t="s">
        <v>179</v>
      </c>
      <c r="D144" t="s">
        <v>72</v>
      </c>
      <c r="E144" t="s">
        <v>65</v>
      </c>
      <c r="F144" t="s">
        <v>106</v>
      </c>
      <c r="G144">
        <v>4</v>
      </c>
      <c r="H144">
        <v>750</v>
      </c>
      <c r="I144">
        <v>15</v>
      </c>
      <c r="J144" t="s">
        <v>17</v>
      </c>
      <c r="K144" t="s">
        <v>30</v>
      </c>
    </row>
    <row r="145" spans="1:11" x14ac:dyDescent="0.3">
      <c r="A145" t="s">
        <v>335</v>
      </c>
      <c r="B145" t="s">
        <v>336</v>
      </c>
      <c r="C145" t="s">
        <v>39</v>
      </c>
      <c r="D145" t="s">
        <v>26</v>
      </c>
      <c r="E145" t="s">
        <v>65</v>
      </c>
      <c r="F145" t="s">
        <v>96</v>
      </c>
      <c r="G145">
        <v>2</v>
      </c>
      <c r="H145">
        <v>900</v>
      </c>
      <c r="I145">
        <v>15</v>
      </c>
      <c r="J145" t="s">
        <v>17</v>
      </c>
      <c r="K145" t="s">
        <v>36</v>
      </c>
    </row>
    <row r="146" spans="1:11" x14ac:dyDescent="0.3">
      <c r="A146" t="s">
        <v>337</v>
      </c>
      <c r="B146" t="s">
        <v>338</v>
      </c>
      <c r="C146" t="s">
        <v>142</v>
      </c>
      <c r="D146" t="s">
        <v>26</v>
      </c>
      <c r="E146" t="s">
        <v>15</v>
      </c>
      <c r="F146" t="s">
        <v>16</v>
      </c>
      <c r="G146">
        <v>2</v>
      </c>
      <c r="H146">
        <v>1500</v>
      </c>
      <c r="I146">
        <v>20</v>
      </c>
      <c r="J146" t="s">
        <v>17</v>
      </c>
      <c r="K146" t="s">
        <v>30</v>
      </c>
    </row>
    <row r="147" spans="1:11" x14ac:dyDescent="0.3">
      <c r="A147" t="s">
        <v>339</v>
      </c>
      <c r="B147" t="s">
        <v>340</v>
      </c>
      <c r="C147" t="s">
        <v>48</v>
      </c>
      <c r="D147" t="s">
        <v>72</v>
      </c>
      <c r="E147" t="s">
        <v>15</v>
      </c>
      <c r="F147" t="s">
        <v>146</v>
      </c>
      <c r="G147">
        <v>1</v>
      </c>
      <c r="H147">
        <v>2500</v>
      </c>
      <c r="I147">
        <v>10</v>
      </c>
      <c r="J147" t="s">
        <v>51</v>
      </c>
      <c r="K147" t="s">
        <v>30</v>
      </c>
    </row>
    <row r="148" spans="1:11" x14ac:dyDescent="0.3">
      <c r="A148" t="s">
        <v>341</v>
      </c>
      <c r="B148" t="s">
        <v>137</v>
      </c>
      <c r="C148" t="s">
        <v>21</v>
      </c>
      <c r="D148" t="s">
        <v>14</v>
      </c>
      <c r="E148" t="s">
        <v>15</v>
      </c>
      <c r="F148" t="s">
        <v>45</v>
      </c>
      <c r="G148">
        <v>4</v>
      </c>
      <c r="H148">
        <v>4500</v>
      </c>
      <c r="I148">
        <v>5</v>
      </c>
      <c r="J148" t="s">
        <v>17</v>
      </c>
      <c r="K148" t="s">
        <v>30</v>
      </c>
    </row>
    <row r="149" spans="1:11" x14ac:dyDescent="0.3">
      <c r="A149" t="s">
        <v>342</v>
      </c>
      <c r="B149" t="s">
        <v>312</v>
      </c>
      <c r="C149" t="s">
        <v>33</v>
      </c>
      <c r="D149" t="s">
        <v>26</v>
      </c>
      <c r="E149" t="s">
        <v>27</v>
      </c>
      <c r="F149" t="s">
        <v>171</v>
      </c>
      <c r="G149">
        <v>5</v>
      </c>
      <c r="H149">
        <v>550</v>
      </c>
      <c r="I149">
        <v>5</v>
      </c>
      <c r="J149" t="s">
        <v>29</v>
      </c>
      <c r="K149" t="s">
        <v>36</v>
      </c>
    </row>
    <row r="150" spans="1:11" x14ac:dyDescent="0.3">
      <c r="A150" t="s">
        <v>343</v>
      </c>
      <c r="B150" t="s">
        <v>344</v>
      </c>
      <c r="C150" t="s">
        <v>71</v>
      </c>
      <c r="D150" t="s">
        <v>26</v>
      </c>
      <c r="E150" t="s">
        <v>27</v>
      </c>
      <c r="F150" t="s">
        <v>171</v>
      </c>
      <c r="G150">
        <v>3</v>
      </c>
      <c r="H150">
        <v>550</v>
      </c>
      <c r="I150">
        <v>10</v>
      </c>
      <c r="J150" t="s">
        <v>51</v>
      </c>
      <c r="K150" t="s">
        <v>36</v>
      </c>
    </row>
    <row r="151" spans="1:11" x14ac:dyDescent="0.3">
      <c r="A151" t="s">
        <v>345</v>
      </c>
      <c r="B151" t="s">
        <v>296</v>
      </c>
      <c r="C151" t="s">
        <v>154</v>
      </c>
      <c r="D151" t="s">
        <v>72</v>
      </c>
      <c r="E151" t="s">
        <v>49</v>
      </c>
      <c r="F151" t="s">
        <v>157</v>
      </c>
      <c r="G151">
        <v>1</v>
      </c>
      <c r="H151">
        <v>1800</v>
      </c>
      <c r="I151">
        <v>5</v>
      </c>
      <c r="J151" t="s">
        <v>17</v>
      </c>
      <c r="K151" t="s">
        <v>36</v>
      </c>
    </row>
    <row r="152" spans="1:11" x14ac:dyDescent="0.3">
      <c r="A152" t="s">
        <v>346</v>
      </c>
      <c r="B152" t="s">
        <v>347</v>
      </c>
      <c r="C152" t="s">
        <v>109</v>
      </c>
      <c r="D152" t="s">
        <v>72</v>
      </c>
      <c r="E152" t="s">
        <v>27</v>
      </c>
      <c r="F152" t="s">
        <v>138</v>
      </c>
      <c r="G152">
        <v>3</v>
      </c>
      <c r="H152">
        <v>650</v>
      </c>
      <c r="I152">
        <v>5</v>
      </c>
      <c r="J152" t="s">
        <v>51</v>
      </c>
      <c r="K152" t="s">
        <v>30</v>
      </c>
    </row>
    <row r="153" spans="1:11" x14ac:dyDescent="0.3">
      <c r="A153" t="s">
        <v>348</v>
      </c>
      <c r="B153" t="s">
        <v>262</v>
      </c>
      <c r="C153" t="s">
        <v>61</v>
      </c>
      <c r="D153" t="s">
        <v>40</v>
      </c>
      <c r="E153" t="s">
        <v>34</v>
      </c>
      <c r="F153" t="s">
        <v>81</v>
      </c>
      <c r="G153">
        <v>2</v>
      </c>
      <c r="H153">
        <v>700</v>
      </c>
      <c r="I153">
        <v>5</v>
      </c>
      <c r="J153" t="s">
        <v>114</v>
      </c>
      <c r="K153" t="s">
        <v>36</v>
      </c>
    </row>
    <row r="154" spans="1:11" x14ac:dyDescent="0.3">
      <c r="A154" t="s">
        <v>349</v>
      </c>
      <c r="B154" t="s">
        <v>170</v>
      </c>
      <c r="C154" t="s">
        <v>109</v>
      </c>
      <c r="D154" t="s">
        <v>72</v>
      </c>
      <c r="E154" t="s">
        <v>34</v>
      </c>
      <c r="F154" t="s">
        <v>62</v>
      </c>
      <c r="G154">
        <v>5</v>
      </c>
      <c r="H154">
        <v>900</v>
      </c>
      <c r="I154">
        <v>15</v>
      </c>
      <c r="J154" t="s">
        <v>29</v>
      </c>
      <c r="K154" t="s">
        <v>30</v>
      </c>
    </row>
    <row r="155" spans="1:11" x14ac:dyDescent="0.3">
      <c r="A155" t="s">
        <v>350</v>
      </c>
      <c r="B155" t="s">
        <v>312</v>
      </c>
      <c r="C155" t="s">
        <v>54</v>
      </c>
      <c r="D155" t="s">
        <v>72</v>
      </c>
      <c r="E155" t="s">
        <v>49</v>
      </c>
      <c r="F155" t="s">
        <v>351</v>
      </c>
      <c r="G155">
        <v>1</v>
      </c>
      <c r="H155">
        <v>2800</v>
      </c>
      <c r="I155">
        <v>10</v>
      </c>
      <c r="J155" t="s">
        <v>29</v>
      </c>
      <c r="K155" t="s">
        <v>30</v>
      </c>
    </row>
    <row r="156" spans="1:11" x14ac:dyDescent="0.3">
      <c r="A156" t="s">
        <v>352</v>
      </c>
      <c r="B156" t="s">
        <v>353</v>
      </c>
      <c r="C156" t="s">
        <v>215</v>
      </c>
      <c r="D156" t="s">
        <v>40</v>
      </c>
      <c r="E156" t="s">
        <v>15</v>
      </c>
      <c r="F156" t="s">
        <v>73</v>
      </c>
      <c r="G156">
        <v>1</v>
      </c>
      <c r="H156">
        <v>2200</v>
      </c>
      <c r="I156">
        <v>5</v>
      </c>
      <c r="J156" t="s">
        <v>51</v>
      </c>
      <c r="K156" t="s">
        <v>22</v>
      </c>
    </row>
    <row r="157" spans="1:11" x14ac:dyDescent="0.3">
      <c r="A157" t="s">
        <v>354</v>
      </c>
      <c r="B157" t="s">
        <v>355</v>
      </c>
      <c r="C157" t="s">
        <v>179</v>
      </c>
      <c r="D157" t="s">
        <v>40</v>
      </c>
      <c r="E157" t="s">
        <v>49</v>
      </c>
      <c r="F157" t="s">
        <v>50</v>
      </c>
      <c r="G157">
        <v>1</v>
      </c>
      <c r="H157">
        <v>2200</v>
      </c>
      <c r="I157">
        <v>15</v>
      </c>
      <c r="J157" t="s">
        <v>29</v>
      </c>
      <c r="K157" t="s">
        <v>22</v>
      </c>
    </row>
    <row r="158" spans="1:11" x14ac:dyDescent="0.3">
      <c r="A158" t="s">
        <v>356</v>
      </c>
      <c r="B158" t="s">
        <v>357</v>
      </c>
      <c r="C158" t="s">
        <v>133</v>
      </c>
      <c r="D158" t="s">
        <v>14</v>
      </c>
      <c r="E158" t="s">
        <v>49</v>
      </c>
      <c r="F158" t="s">
        <v>58</v>
      </c>
      <c r="G158">
        <v>5</v>
      </c>
      <c r="H158">
        <v>3200</v>
      </c>
      <c r="I158">
        <v>20</v>
      </c>
      <c r="J158" t="s">
        <v>51</v>
      </c>
      <c r="K158" t="s">
        <v>36</v>
      </c>
    </row>
    <row r="159" spans="1:11" x14ac:dyDescent="0.3">
      <c r="A159" t="s">
        <v>358</v>
      </c>
      <c r="B159" t="s">
        <v>77</v>
      </c>
      <c r="C159" t="s">
        <v>220</v>
      </c>
      <c r="D159" t="s">
        <v>72</v>
      </c>
      <c r="E159" t="s">
        <v>65</v>
      </c>
      <c r="F159" t="s">
        <v>85</v>
      </c>
      <c r="G159">
        <v>1</v>
      </c>
      <c r="H159">
        <v>650</v>
      </c>
      <c r="I159">
        <v>10</v>
      </c>
      <c r="J159" t="s">
        <v>29</v>
      </c>
      <c r="K159" t="s">
        <v>18</v>
      </c>
    </row>
    <row r="160" spans="1:11" x14ac:dyDescent="0.3">
      <c r="A160" t="s">
        <v>359</v>
      </c>
      <c r="B160" t="s">
        <v>312</v>
      </c>
      <c r="C160" t="s">
        <v>176</v>
      </c>
      <c r="D160" t="s">
        <v>40</v>
      </c>
      <c r="E160" t="s">
        <v>65</v>
      </c>
      <c r="F160" t="s">
        <v>96</v>
      </c>
      <c r="G160">
        <v>3</v>
      </c>
      <c r="H160">
        <v>900</v>
      </c>
      <c r="I160">
        <v>5</v>
      </c>
      <c r="J160" t="s">
        <v>29</v>
      </c>
      <c r="K160" t="s">
        <v>30</v>
      </c>
    </row>
    <row r="161" spans="1:11" x14ac:dyDescent="0.3">
      <c r="A161" t="s">
        <v>360</v>
      </c>
      <c r="B161" t="s">
        <v>225</v>
      </c>
      <c r="C161" t="s">
        <v>13</v>
      </c>
      <c r="D161" t="s">
        <v>72</v>
      </c>
      <c r="E161" t="s">
        <v>15</v>
      </c>
      <c r="F161" t="s">
        <v>146</v>
      </c>
      <c r="G161">
        <v>5</v>
      </c>
      <c r="H161">
        <v>2500</v>
      </c>
      <c r="I161">
        <v>15</v>
      </c>
      <c r="J161" t="s">
        <v>17</v>
      </c>
      <c r="K161" t="s">
        <v>18</v>
      </c>
    </row>
    <row r="162" spans="1:11" x14ac:dyDescent="0.3">
      <c r="A162" t="s">
        <v>361</v>
      </c>
      <c r="B162" t="s">
        <v>24</v>
      </c>
      <c r="C162" t="s">
        <v>179</v>
      </c>
      <c r="D162" t="s">
        <v>14</v>
      </c>
      <c r="E162" t="s">
        <v>34</v>
      </c>
      <c r="F162" t="s">
        <v>41</v>
      </c>
      <c r="G162">
        <v>1</v>
      </c>
      <c r="H162">
        <v>1600</v>
      </c>
      <c r="I162">
        <v>20</v>
      </c>
      <c r="J162" t="s">
        <v>17</v>
      </c>
      <c r="K162" t="s">
        <v>22</v>
      </c>
    </row>
    <row r="163" spans="1:11" x14ac:dyDescent="0.3">
      <c r="A163" t="s">
        <v>362</v>
      </c>
      <c r="B163" t="s">
        <v>363</v>
      </c>
      <c r="C163" t="s">
        <v>44</v>
      </c>
      <c r="D163" t="s">
        <v>14</v>
      </c>
      <c r="E163" t="s">
        <v>34</v>
      </c>
      <c r="F163" t="s">
        <v>41</v>
      </c>
      <c r="G163">
        <v>2</v>
      </c>
      <c r="H163">
        <v>1600</v>
      </c>
      <c r="I163">
        <v>0</v>
      </c>
      <c r="J163" t="s">
        <v>55</v>
      </c>
      <c r="K163" t="s">
        <v>30</v>
      </c>
    </row>
    <row r="164" spans="1:11" x14ac:dyDescent="0.3">
      <c r="A164" t="s">
        <v>364</v>
      </c>
      <c r="B164" t="s">
        <v>38</v>
      </c>
      <c r="C164" t="s">
        <v>105</v>
      </c>
      <c r="D164" t="s">
        <v>40</v>
      </c>
      <c r="E164" t="s">
        <v>49</v>
      </c>
      <c r="F164" t="s">
        <v>157</v>
      </c>
      <c r="G164">
        <v>2</v>
      </c>
      <c r="H164">
        <v>1800</v>
      </c>
      <c r="I164">
        <v>15</v>
      </c>
      <c r="J164" t="s">
        <v>29</v>
      </c>
      <c r="K164" t="s">
        <v>18</v>
      </c>
    </row>
    <row r="165" spans="1:11" x14ac:dyDescent="0.3">
      <c r="A165" t="s">
        <v>365</v>
      </c>
      <c r="B165" t="s">
        <v>273</v>
      </c>
      <c r="C165" t="s">
        <v>48</v>
      </c>
      <c r="D165" t="s">
        <v>26</v>
      </c>
      <c r="E165" t="s">
        <v>27</v>
      </c>
      <c r="F165" t="s">
        <v>128</v>
      </c>
      <c r="G165">
        <v>2</v>
      </c>
      <c r="H165">
        <v>1800</v>
      </c>
      <c r="I165">
        <v>15</v>
      </c>
      <c r="J165" t="s">
        <v>17</v>
      </c>
      <c r="K165" t="s">
        <v>18</v>
      </c>
    </row>
    <row r="166" spans="1:11" x14ac:dyDescent="0.3">
      <c r="A166" t="s">
        <v>366</v>
      </c>
      <c r="B166" t="s">
        <v>12</v>
      </c>
      <c r="C166" t="s">
        <v>125</v>
      </c>
      <c r="D166" t="s">
        <v>40</v>
      </c>
      <c r="E166" t="s">
        <v>65</v>
      </c>
      <c r="F166" t="s">
        <v>96</v>
      </c>
      <c r="G166">
        <v>3</v>
      </c>
      <c r="H166">
        <v>900</v>
      </c>
      <c r="I166">
        <v>20</v>
      </c>
      <c r="J166" t="s">
        <v>17</v>
      </c>
      <c r="K166" t="s">
        <v>30</v>
      </c>
    </row>
    <row r="167" spans="1:11" x14ac:dyDescent="0.3">
      <c r="A167" t="s">
        <v>367</v>
      </c>
      <c r="B167" t="s">
        <v>291</v>
      </c>
      <c r="C167" t="s">
        <v>117</v>
      </c>
      <c r="D167" t="s">
        <v>26</v>
      </c>
      <c r="E167" t="s">
        <v>65</v>
      </c>
      <c r="F167" t="s">
        <v>66</v>
      </c>
      <c r="G167">
        <v>3</v>
      </c>
      <c r="H167">
        <v>850</v>
      </c>
      <c r="I167">
        <v>0</v>
      </c>
      <c r="J167" t="s">
        <v>17</v>
      </c>
      <c r="K167" t="s">
        <v>18</v>
      </c>
    </row>
    <row r="168" spans="1:11" x14ac:dyDescent="0.3">
      <c r="A168" t="s">
        <v>368</v>
      </c>
      <c r="B168" t="s">
        <v>150</v>
      </c>
      <c r="C168" t="s">
        <v>159</v>
      </c>
      <c r="D168" t="s">
        <v>40</v>
      </c>
      <c r="E168" t="s">
        <v>65</v>
      </c>
      <c r="F168" t="s">
        <v>92</v>
      </c>
      <c r="G168">
        <v>4</v>
      </c>
      <c r="H168">
        <v>700</v>
      </c>
      <c r="I168">
        <v>20</v>
      </c>
      <c r="J168" t="s">
        <v>55</v>
      </c>
      <c r="K168" t="s">
        <v>30</v>
      </c>
    </row>
    <row r="169" spans="1:11" x14ac:dyDescent="0.3">
      <c r="A169" t="s">
        <v>369</v>
      </c>
      <c r="B169" t="s">
        <v>264</v>
      </c>
      <c r="C169" t="s">
        <v>105</v>
      </c>
      <c r="D169" t="s">
        <v>40</v>
      </c>
      <c r="E169" t="s">
        <v>27</v>
      </c>
      <c r="F169" t="s">
        <v>28</v>
      </c>
      <c r="G169">
        <v>4</v>
      </c>
      <c r="H169">
        <v>500</v>
      </c>
      <c r="I169">
        <v>0</v>
      </c>
      <c r="J169" t="s">
        <v>51</v>
      </c>
      <c r="K169" t="s">
        <v>36</v>
      </c>
    </row>
    <row r="170" spans="1:11" x14ac:dyDescent="0.3">
      <c r="A170" t="s">
        <v>370</v>
      </c>
      <c r="B170" t="s">
        <v>371</v>
      </c>
      <c r="C170" t="s">
        <v>13</v>
      </c>
      <c r="D170" t="s">
        <v>72</v>
      </c>
      <c r="E170" t="s">
        <v>27</v>
      </c>
      <c r="F170" t="s">
        <v>138</v>
      </c>
      <c r="G170">
        <v>4</v>
      </c>
      <c r="H170">
        <v>650</v>
      </c>
      <c r="J170" t="s">
        <v>55</v>
      </c>
      <c r="K170" t="s">
        <v>30</v>
      </c>
    </row>
    <row r="171" spans="1:11" x14ac:dyDescent="0.3">
      <c r="A171" t="s">
        <v>372</v>
      </c>
      <c r="B171" t="s">
        <v>204</v>
      </c>
      <c r="C171" t="s">
        <v>109</v>
      </c>
      <c r="D171" t="s">
        <v>26</v>
      </c>
      <c r="E171" t="s">
        <v>34</v>
      </c>
      <c r="F171" t="s">
        <v>41</v>
      </c>
      <c r="G171">
        <v>5</v>
      </c>
      <c r="H171">
        <v>1600</v>
      </c>
      <c r="I171">
        <v>0</v>
      </c>
      <c r="J171" t="s">
        <v>51</v>
      </c>
      <c r="K171" t="s">
        <v>36</v>
      </c>
    </row>
    <row r="172" spans="1:11" x14ac:dyDescent="0.3">
      <c r="A172" t="s">
        <v>373</v>
      </c>
      <c r="B172" t="s">
        <v>251</v>
      </c>
      <c r="C172" t="s">
        <v>154</v>
      </c>
      <c r="D172" t="s">
        <v>72</v>
      </c>
      <c r="E172" t="s">
        <v>34</v>
      </c>
      <c r="F172" t="s">
        <v>100</v>
      </c>
      <c r="G172">
        <v>3</v>
      </c>
      <c r="H172">
        <v>1200</v>
      </c>
      <c r="I172">
        <v>10</v>
      </c>
      <c r="J172" t="s">
        <v>55</v>
      </c>
      <c r="K172" t="s">
        <v>30</v>
      </c>
    </row>
    <row r="173" spans="1:11" x14ac:dyDescent="0.3">
      <c r="A173" t="s">
        <v>374</v>
      </c>
      <c r="B173" t="s">
        <v>170</v>
      </c>
      <c r="C173" t="s">
        <v>105</v>
      </c>
      <c r="D173" t="s">
        <v>26</v>
      </c>
      <c r="E173" t="s">
        <v>15</v>
      </c>
      <c r="F173" t="s">
        <v>45</v>
      </c>
      <c r="G173">
        <v>3</v>
      </c>
      <c r="H173">
        <v>4500</v>
      </c>
      <c r="I173">
        <v>15</v>
      </c>
      <c r="J173" t="s">
        <v>55</v>
      </c>
      <c r="K173" t="s">
        <v>36</v>
      </c>
    </row>
    <row r="174" spans="1:11" x14ac:dyDescent="0.3">
      <c r="A174" t="s">
        <v>375</v>
      </c>
      <c r="B174" t="s">
        <v>347</v>
      </c>
      <c r="C174" t="s">
        <v>249</v>
      </c>
      <c r="D174" t="s">
        <v>26</v>
      </c>
      <c r="E174" t="s">
        <v>34</v>
      </c>
      <c r="F174" t="s">
        <v>81</v>
      </c>
      <c r="G174">
        <v>2</v>
      </c>
      <c r="H174">
        <v>700</v>
      </c>
      <c r="I174">
        <v>20</v>
      </c>
      <c r="J174" t="s">
        <v>17</v>
      </c>
      <c r="K174" t="s">
        <v>18</v>
      </c>
    </row>
    <row r="175" spans="1:11" x14ac:dyDescent="0.3">
      <c r="A175" t="s">
        <v>376</v>
      </c>
      <c r="B175" t="s">
        <v>325</v>
      </c>
      <c r="C175" t="s">
        <v>54</v>
      </c>
      <c r="D175" t="s">
        <v>26</v>
      </c>
      <c r="E175" t="s">
        <v>27</v>
      </c>
      <c r="F175" t="s">
        <v>171</v>
      </c>
      <c r="G175">
        <v>2</v>
      </c>
      <c r="H175">
        <v>550</v>
      </c>
      <c r="I175">
        <v>5</v>
      </c>
      <c r="J175" t="s">
        <v>51</v>
      </c>
      <c r="K175" t="s">
        <v>18</v>
      </c>
    </row>
    <row r="176" spans="1:11" x14ac:dyDescent="0.3">
      <c r="A176" t="s">
        <v>377</v>
      </c>
      <c r="B176" t="s">
        <v>113</v>
      </c>
      <c r="C176" t="s">
        <v>105</v>
      </c>
      <c r="D176" t="s">
        <v>40</v>
      </c>
      <c r="E176" t="s">
        <v>49</v>
      </c>
      <c r="F176" t="s">
        <v>157</v>
      </c>
      <c r="G176">
        <v>3</v>
      </c>
      <c r="H176">
        <v>1800</v>
      </c>
      <c r="I176">
        <v>0</v>
      </c>
      <c r="J176" t="s">
        <v>17</v>
      </c>
      <c r="K176" t="s">
        <v>30</v>
      </c>
    </row>
    <row r="177" spans="1:11" x14ac:dyDescent="0.3">
      <c r="A177" t="s">
        <v>378</v>
      </c>
      <c r="B177" t="s">
        <v>262</v>
      </c>
      <c r="C177" t="s">
        <v>176</v>
      </c>
      <c r="D177" t="s">
        <v>14</v>
      </c>
      <c r="E177" t="s">
        <v>27</v>
      </c>
      <c r="F177" t="s">
        <v>138</v>
      </c>
      <c r="G177">
        <v>2</v>
      </c>
      <c r="H177">
        <v>650</v>
      </c>
      <c r="I177">
        <v>5</v>
      </c>
      <c r="J177" t="s">
        <v>55</v>
      </c>
      <c r="K177" t="s">
        <v>18</v>
      </c>
    </row>
    <row r="178" spans="1:11" x14ac:dyDescent="0.3">
      <c r="A178" t="s">
        <v>379</v>
      </c>
      <c r="B178" t="s">
        <v>380</v>
      </c>
      <c r="C178" t="s">
        <v>154</v>
      </c>
      <c r="D178" t="s">
        <v>14</v>
      </c>
      <c r="E178" t="s">
        <v>15</v>
      </c>
      <c r="F178" t="s">
        <v>146</v>
      </c>
      <c r="G178">
        <v>4</v>
      </c>
      <c r="H178">
        <v>2500</v>
      </c>
      <c r="I178">
        <v>20</v>
      </c>
      <c r="J178" t="s">
        <v>51</v>
      </c>
      <c r="K178" t="s">
        <v>18</v>
      </c>
    </row>
    <row r="179" spans="1:11" x14ac:dyDescent="0.3">
      <c r="A179" t="s">
        <v>381</v>
      </c>
      <c r="B179" t="s">
        <v>382</v>
      </c>
      <c r="C179" t="s">
        <v>122</v>
      </c>
      <c r="D179" t="s">
        <v>72</v>
      </c>
      <c r="E179" t="s">
        <v>49</v>
      </c>
      <c r="F179" t="s">
        <v>351</v>
      </c>
      <c r="G179">
        <v>2</v>
      </c>
      <c r="H179">
        <v>2800</v>
      </c>
      <c r="I179">
        <v>10</v>
      </c>
      <c r="J179" t="s">
        <v>29</v>
      </c>
      <c r="K179" t="s">
        <v>18</v>
      </c>
    </row>
    <row r="180" spans="1:11" x14ac:dyDescent="0.3">
      <c r="A180" t="s">
        <v>383</v>
      </c>
      <c r="B180" t="s">
        <v>264</v>
      </c>
      <c r="C180" t="s">
        <v>166</v>
      </c>
      <c r="D180" t="s">
        <v>72</v>
      </c>
      <c r="E180" t="s">
        <v>34</v>
      </c>
      <c r="F180" t="s">
        <v>62</v>
      </c>
      <c r="G180">
        <v>2</v>
      </c>
      <c r="H180">
        <v>900</v>
      </c>
      <c r="I180">
        <v>5</v>
      </c>
      <c r="J180" t="s">
        <v>55</v>
      </c>
      <c r="K180" t="s">
        <v>30</v>
      </c>
    </row>
    <row r="181" spans="1:11" x14ac:dyDescent="0.3">
      <c r="A181" t="s">
        <v>384</v>
      </c>
      <c r="B181" t="s">
        <v>385</v>
      </c>
      <c r="C181" t="s">
        <v>99</v>
      </c>
      <c r="D181" t="s">
        <v>40</v>
      </c>
      <c r="E181" t="s">
        <v>15</v>
      </c>
      <c r="F181" t="s">
        <v>146</v>
      </c>
      <c r="G181">
        <v>5</v>
      </c>
      <c r="H181">
        <v>2500</v>
      </c>
      <c r="I181">
        <v>0</v>
      </c>
      <c r="J181" t="s">
        <v>51</v>
      </c>
      <c r="K181" t="s">
        <v>36</v>
      </c>
    </row>
    <row r="182" spans="1:11" x14ac:dyDescent="0.3">
      <c r="A182" t="s">
        <v>386</v>
      </c>
      <c r="B182" t="s">
        <v>387</v>
      </c>
      <c r="C182" t="s">
        <v>95</v>
      </c>
      <c r="D182" t="s">
        <v>14</v>
      </c>
      <c r="E182" t="s">
        <v>49</v>
      </c>
      <c r="F182" t="s">
        <v>50</v>
      </c>
      <c r="G182">
        <v>4</v>
      </c>
      <c r="H182">
        <v>2200</v>
      </c>
      <c r="I182">
        <v>0</v>
      </c>
      <c r="J182" t="s">
        <v>55</v>
      </c>
      <c r="K182" t="s">
        <v>18</v>
      </c>
    </row>
    <row r="183" spans="1:11" x14ac:dyDescent="0.3">
      <c r="A183" t="s">
        <v>388</v>
      </c>
      <c r="B183" t="s">
        <v>389</v>
      </c>
      <c r="C183" t="s">
        <v>117</v>
      </c>
      <c r="D183" t="s">
        <v>72</v>
      </c>
      <c r="E183" t="s">
        <v>34</v>
      </c>
      <c r="F183" t="s">
        <v>100</v>
      </c>
      <c r="G183">
        <v>5</v>
      </c>
      <c r="H183">
        <v>1200</v>
      </c>
      <c r="I183">
        <v>10</v>
      </c>
      <c r="J183" t="s">
        <v>55</v>
      </c>
      <c r="K183" t="s">
        <v>18</v>
      </c>
    </row>
    <row r="184" spans="1:11" x14ac:dyDescent="0.3">
      <c r="A184" t="s">
        <v>390</v>
      </c>
      <c r="B184" t="s">
        <v>260</v>
      </c>
      <c r="C184" t="s">
        <v>220</v>
      </c>
      <c r="D184" t="s">
        <v>26</v>
      </c>
      <c r="E184" t="s">
        <v>15</v>
      </c>
      <c r="F184" t="s">
        <v>78</v>
      </c>
      <c r="G184">
        <v>1</v>
      </c>
      <c r="H184">
        <v>900</v>
      </c>
      <c r="I184">
        <v>10</v>
      </c>
      <c r="J184" t="s">
        <v>55</v>
      </c>
      <c r="K184" t="s">
        <v>22</v>
      </c>
    </row>
    <row r="185" spans="1:11" x14ac:dyDescent="0.3">
      <c r="A185" t="s">
        <v>391</v>
      </c>
      <c r="B185" t="s">
        <v>392</v>
      </c>
      <c r="C185" t="s">
        <v>133</v>
      </c>
      <c r="D185" t="s">
        <v>14</v>
      </c>
      <c r="E185" t="s">
        <v>15</v>
      </c>
      <c r="F185" t="s">
        <v>78</v>
      </c>
      <c r="G185">
        <v>4</v>
      </c>
      <c r="H185">
        <v>900</v>
      </c>
      <c r="I185">
        <v>15</v>
      </c>
      <c r="J185" t="s">
        <v>17</v>
      </c>
      <c r="K185" t="s">
        <v>36</v>
      </c>
    </row>
    <row r="186" spans="1:11" x14ac:dyDescent="0.3">
      <c r="A186" t="s">
        <v>393</v>
      </c>
      <c r="B186" t="s">
        <v>32</v>
      </c>
      <c r="C186" t="s">
        <v>44</v>
      </c>
      <c r="D186" t="s">
        <v>14</v>
      </c>
      <c r="E186" t="s">
        <v>15</v>
      </c>
      <c r="F186" t="s">
        <v>78</v>
      </c>
      <c r="G186">
        <v>5</v>
      </c>
      <c r="H186">
        <v>900</v>
      </c>
      <c r="I186">
        <v>20</v>
      </c>
      <c r="J186" t="s">
        <v>29</v>
      </c>
      <c r="K186" t="s">
        <v>36</v>
      </c>
    </row>
    <row r="187" spans="1:11" x14ac:dyDescent="0.3">
      <c r="A187" t="s">
        <v>394</v>
      </c>
      <c r="B187" t="s">
        <v>175</v>
      </c>
      <c r="C187" t="s">
        <v>395</v>
      </c>
      <c r="D187" t="s">
        <v>40</v>
      </c>
      <c r="E187" t="s">
        <v>34</v>
      </c>
      <c r="F187" t="s">
        <v>35</v>
      </c>
      <c r="G187">
        <v>2</v>
      </c>
      <c r="H187">
        <v>3500</v>
      </c>
      <c r="I187">
        <v>15</v>
      </c>
      <c r="J187" t="s">
        <v>29</v>
      </c>
      <c r="K187" t="s">
        <v>36</v>
      </c>
    </row>
    <row r="188" spans="1:11" x14ac:dyDescent="0.3">
      <c r="A188" t="s">
        <v>396</v>
      </c>
      <c r="B188" t="s">
        <v>262</v>
      </c>
      <c r="C188" t="s">
        <v>99</v>
      </c>
      <c r="D188" t="s">
        <v>40</v>
      </c>
      <c r="E188" t="s">
        <v>15</v>
      </c>
      <c r="F188" t="s">
        <v>146</v>
      </c>
      <c r="G188">
        <v>5</v>
      </c>
      <c r="H188">
        <v>2500</v>
      </c>
      <c r="I188">
        <v>20</v>
      </c>
      <c r="J188" t="s">
        <v>55</v>
      </c>
      <c r="K188" t="s">
        <v>22</v>
      </c>
    </row>
    <row r="189" spans="1:11" x14ac:dyDescent="0.3">
      <c r="A189" t="s">
        <v>397</v>
      </c>
      <c r="B189" t="s">
        <v>168</v>
      </c>
      <c r="C189" t="s">
        <v>215</v>
      </c>
      <c r="D189" t="s">
        <v>26</v>
      </c>
      <c r="E189" t="s">
        <v>34</v>
      </c>
      <c r="F189" t="s">
        <v>62</v>
      </c>
      <c r="G189">
        <v>2</v>
      </c>
      <c r="H189">
        <v>900</v>
      </c>
      <c r="I189">
        <v>20</v>
      </c>
      <c r="J189" t="s">
        <v>29</v>
      </c>
      <c r="K189" t="s">
        <v>22</v>
      </c>
    </row>
    <row r="190" spans="1:11" x14ac:dyDescent="0.3">
      <c r="A190" t="s">
        <v>398</v>
      </c>
      <c r="B190" t="s">
        <v>68</v>
      </c>
      <c r="C190" t="s">
        <v>61</v>
      </c>
      <c r="D190" t="s">
        <v>40</v>
      </c>
      <c r="E190" t="s">
        <v>15</v>
      </c>
      <c r="F190" t="s">
        <v>45</v>
      </c>
      <c r="G190">
        <v>4</v>
      </c>
      <c r="H190">
        <v>4500</v>
      </c>
      <c r="I190">
        <v>15</v>
      </c>
      <c r="J190" t="s">
        <v>17</v>
      </c>
      <c r="K190" t="s">
        <v>18</v>
      </c>
    </row>
    <row r="191" spans="1:11" x14ac:dyDescent="0.3">
      <c r="A191" t="s">
        <v>399</v>
      </c>
      <c r="B191" t="s">
        <v>325</v>
      </c>
      <c r="C191" t="s">
        <v>54</v>
      </c>
      <c r="D191" t="s">
        <v>40</v>
      </c>
      <c r="E191" t="s">
        <v>34</v>
      </c>
      <c r="F191" t="s">
        <v>41</v>
      </c>
      <c r="G191">
        <v>3</v>
      </c>
      <c r="H191">
        <v>1600</v>
      </c>
      <c r="I191">
        <v>5</v>
      </c>
      <c r="J191" t="s">
        <v>17</v>
      </c>
      <c r="K191" t="s">
        <v>30</v>
      </c>
    </row>
    <row r="192" spans="1:11" x14ac:dyDescent="0.3">
      <c r="A192" t="s">
        <v>400</v>
      </c>
      <c r="B192" t="s">
        <v>340</v>
      </c>
      <c r="C192" t="s">
        <v>99</v>
      </c>
      <c r="D192" t="s">
        <v>26</v>
      </c>
      <c r="E192" t="s">
        <v>49</v>
      </c>
      <c r="F192" t="s">
        <v>182</v>
      </c>
      <c r="G192">
        <v>2</v>
      </c>
      <c r="H192">
        <v>800</v>
      </c>
      <c r="I192">
        <v>15</v>
      </c>
      <c r="J192" t="s">
        <v>29</v>
      </c>
      <c r="K192" t="s">
        <v>22</v>
      </c>
    </row>
    <row r="193" spans="1:11" x14ac:dyDescent="0.3">
      <c r="A193" t="s">
        <v>401</v>
      </c>
      <c r="B193" t="s">
        <v>402</v>
      </c>
      <c r="C193" t="s">
        <v>117</v>
      </c>
      <c r="D193" t="s">
        <v>26</v>
      </c>
      <c r="E193" t="s">
        <v>49</v>
      </c>
      <c r="F193" t="s">
        <v>182</v>
      </c>
      <c r="G193">
        <v>2</v>
      </c>
      <c r="H193">
        <v>800</v>
      </c>
      <c r="I193">
        <v>0</v>
      </c>
      <c r="J193" t="s">
        <v>55</v>
      </c>
      <c r="K193" t="s">
        <v>36</v>
      </c>
    </row>
    <row r="194" spans="1:11" x14ac:dyDescent="0.3">
      <c r="A194" t="s">
        <v>403</v>
      </c>
      <c r="B194" t="s">
        <v>404</v>
      </c>
      <c r="C194" t="s">
        <v>176</v>
      </c>
      <c r="D194" t="s">
        <v>72</v>
      </c>
      <c r="E194" t="s">
        <v>34</v>
      </c>
      <c r="F194" t="s">
        <v>41</v>
      </c>
      <c r="G194">
        <v>3</v>
      </c>
      <c r="H194">
        <v>1600</v>
      </c>
      <c r="I194">
        <v>0</v>
      </c>
      <c r="J194" t="s">
        <v>55</v>
      </c>
      <c r="K194" t="s">
        <v>30</v>
      </c>
    </row>
    <row r="195" spans="1:11" x14ac:dyDescent="0.3">
      <c r="A195" t="s">
        <v>405</v>
      </c>
      <c r="B195" t="s">
        <v>178</v>
      </c>
      <c r="C195" t="s">
        <v>179</v>
      </c>
      <c r="D195" t="s">
        <v>26</v>
      </c>
      <c r="E195" t="s">
        <v>34</v>
      </c>
      <c r="F195" t="s">
        <v>100</v>
      </c>
      <c r="G195">
        <v>1</v>
      </c>
      <c r="H195">
        <v>1200</v>
      </c>
      <c r="I195">
        <v>10</v>
      </c>
      <c r="J195" t="s">
        <v>29</v>
      </c>
      <c r="K195" t="s">
        <v>18</v>
      </c>
    </row>
    <row r="196" spans="1:11" x14ac:dyDescent="0.3">
      <c r="A196" t="s">
        <v>406</v>
      </c>
      <c r="B196" t="s">
        <v>211</v>
      </c>
      <c r="C196" t="s">
        <v>71</v>
      </c>
      <c r="D196" t="s">
        <v>72</v>
      </c>
      <c r="E196" t="s">
        <v>65</v>
      </c>
      <c r="F196" t="s">
        <v>66</v>
      </c>
      <c r="G196">
        <v>4</v>
      </c>
      <c r="H196">
        <v>850</v>
      </c>
      <c r="I196">
        <v>10</v>
      </c>
      <c r="J196" t="s">
        <v>51</v>
      </c>
      <c r="K196" t="s">
        <v>36</v>
      </c>
    </row>
    <row r="197" spans="1:11" x14ac:dyDescent="0.3">
      <c r="A197" t="s">
        <v>407</v>
      </c>
      <c r="B197" t="s">
        <v>338</v>
      </c>
      <c r="C197" t="s">
        <v>215</v>
      </c>
      <c r="D197" t="s">
        <v>14</v>
      </c>
      <c r="E197" t="s">
        <v>65</v>
      </c>
      <c r="F197" t="s">
        <v>85</v>
      </c>
      <c r="G197">
        <v>5</v>
      </c>
      <c r="H197">
        <v>650</v>
      </c>
      <c r="I197">
        <v>10</v>
      </c>
      <c r="J197" t="s">
        <v>51</v>
      </c>
      <c r="K197" t="s">
        <v>36</v>
      </c>
    </row>
    <row r="198" spans="1:11" x14ac:dyDescent="0.3">
      <c r="A198" t="s">
        <v>408</v>
      </c>
      <c r="B198" t="s">
        <v>170</v>
      </c>
      <c r="C198" t="s">
        <v>122</v>
      </c>
      <c r="D198" t="s">
        <v>26</v>
      </c>
      <c r="E198" t="s">
        <v>15</v>
      </c>
      <c r="F198" t="s">
        <v>78</v>
      </c>
      <c r="G198">
        <v>4</v>
      </c>
      <c r="H198">
        <v>900</v>
      </c>
      <c r="I198">
        <v>20</v>
      </c>
      <c r="J198" t="s">
        <v>29</v>
      </c>
      <c r="K198" t="s">
        <v>22</v>
      </c>
    </row>
    <row r="199" spans="1:11" x14ac:dyDescent="0.3">
      <c r="A199" t="s">
        <v>409</v>
      </c>
      <c r="B199" t="s">
        <v>327</v>
      </c>
      <c r="C199" t="s">
        <v>117</v>
      </c>
      <c r="D199" t="s">
        <v>26</v>
      </c>
      <c r="E199" t="s">
        <v>65</v>
      </c>
      <c r="F199" t="s">
        <v>96</v>
      </c>
      <c r="G199">
        <v>5</v>
      </c>
      <c r="H199">
        <v>900</v>
      </c>
      <c r="I199">
        <v>15</v>
      </c>
      <c r="J199" t="s">
        <v>51</v>
      </c>
      <c r="K199" t="s">
        <v>36</v>
      </c>
    </row>
    <row r="200" spans="1:11" x14ac:dyDescent="0.3">
      <c r="A200" t="s">
        <v>410</v>
      </c>
      <c r="B200" t="s">
        <v>380</v>
      </c>
      <c r="C200" t="s">
        <v>166</v>
      </c>
      <c r="D200" t="s">
        <v>14</v>
      </c>
      <c r="E200" t="s">
        <v>15</v>
      </c>
      <c r="F200" t="s">
        <v>146</v>
      </c>
      <c r="G200">
        <v>1</v>
      </c>
      <c r="H200">
        <v>2500</v>
      </c>
      <c r="I200">
        <v>5</v>
      </c>
      <c r="J200" t="s">
        <v>29</v>
      </c>
      <c r="K200" t="s">
        <v>36</v>
      </c>
    </row>
    <row r="201" spans="1:11" x14ac:dyDescent="0.3">
      <c r="A201" t="s">
        <v>411</v>
      </c>
      <c r="B201" t="s">
        <v>316</v>
      </c>
      <c r="C201" t="s">
        <v>33</v>
      </c>
      <c r="D201" t="s">
        <v>26</v>
      </c>
      <c r="E201" t="s">
        <v>49</v>
      </c>
      <c r="F201" t="s">
        <v>182</v>
      </c>
      <c r="G201">
        <v>3</v>
      </c>
      <c r="H201">
        <v>800</v>
      </c>
      <c r="I201">
        <v>15</v>
      </c>
      <c r="J201" t="s">
        <v>17</v>
      </c>
      <c r="K201" t="s">
        <v>22</v>
      </c>
    </row>
    <row r="202" spans="1:11" x14ac:dyDescent="0.3">
      <c r="A202" t="s">
        <v>412</v>
      </c>
      <c r="B202" t="s">
        <v>385</v>
      </c>
      <c r="C202" t="s">
        <v>25</v>
      </c>
      <c r="D202" t="s">
        <v>40</v>
      </c>
      <c r="E202" t="s">
        <v>65</v>
      </c>
      <c r="F202" t="s">
        <v>96</v>
      </c>
      <c r="G202">
        <v>5</v>
      </c>
      <c r="H202">
        <v>900</v>
      </c>
      <c r="I202">
        <v>5</v>
      </c>
      <c r="J202" t="s">
        <v>51</v>
      </c>
      <c r="K202" t="s">
        <v>18</v>
      </c>
    </row>
    <row r="203" spans="1:11" x14ac:dyDescent="0.3">
      <c r="A203" t="s">
        <v>413</v>
      </c>
      <c r="B203" t="s">
        <v>414</v>
      </c>
      <c r="C203" t="s">
        <v>142</v>
      </c>
      <c r="D203" t="s">
        <v>40</v>
      </c>
      <c r="E203" t="s">
        <v>34</v>
      </c>
      <c r="F203" t="s">
        <v>41</v>
      </c>
      <c r="G203">
        <v>2</v>
      </c>
      <c r="H203">
        <v>1600</v>
      </c>
      <c r="I203">
        <v>15</v>
      </c>
      <c r="J203" t="s">
        <v>29</v>
      </c>
      <c r="K203" t="s">
        <v>36</v>
      </c>
    </row>
    <row r="204" spans="1:11" x14ac:dyDescent="0.3">
      <c r="A204" t="s">
        <v>415</v>
      </c>
      <c r="B204" t="s">
        <v>148</v>
      </c>
      <c r="C204" t="s">
        <v>25</v>
      </c>
      <c r="D204" t="s">
        <v>14</v>
      </c>
      <c r="E204" t="s">
        <v>34</v>
      </c>
      <c r="F204" t="s">
        <v>41</v>
      </c>
      <c r="G204">
        <v>5</v>
      </c>
      <c r="H204">
        <v>1600</v>
      </c>
      <c r="I204">
        <v>10</v>
      </c>
      <c r="J204" t="s">
        <v>29</v>
      </c>
      <c r="K204" t="s">
        <v>22</v>
      </c>
    </row>
    <row r="205" spans="1:11" x14ac:dyDescent="0.3">
      <c r="A205" t="s">
        <v>416</v>
      </c>
      <c r="B205" t="s">
        <v>258</v>
      </c>
      <c r="C205" t="s">
        <v>25</v>
      </c>
      <c r="D205" t="s">
        <v>14</v>
      </c>
      <c r="E205" t="s">
        <v>15</v>
      </c>
      <c r="F205" t="s">
        <v>73</v>
      </c>
      <c r="G205">
        <v>4</v>
      </c>
      <c r="H205">
        <v>2200</v>
      </c>
      <c r="I205">
        <v>0</v>
      </c>
      <c r="J205" t="s">
        <v>51</v>
      </c>
      <c r="K205" t="s">
        <v>30</v>
      </c>
    </row>
    <row r="206" spans="1:11" x14ac:dyDescent="0.3">
      <c r="A206" t="s">
        <v>417</v>
      </c>
      <c r="B206" t="s">
        <v>104</v>
      </c>
      <c r="C206" t="s">
        <v>122</v>
      </c>
      <c r="D206" t="s">
        <v>26</v>
      </c>
      <c r="E206" t="s">
        <v>15</v>
      </c>
      <c r="F206" t="s">
        <v>45</v>
      </c>
      <c r="G206">
        <v>2</v>
      </c>
      <c r="H206">
        <v>4500</v>
      </c>
      <c r="I206">
        <v>5</v>
      </c>
      <c r="J206" t="s">
        <v>51</v>
      </c>
      <c r="K206" t="s">
        <v>22</v>
      </c>
    </row>
    <row r="207" spans="1:11" x14ac:dyDescent="0.3">
      <c r="A207" t="s">
        <v>418</v>
      </c>
      <c r="B207" t="s">
        <v>113</v>
      </c>
      <c r="C207" t="s">
        <v>13</v>
      </c>
      <c r="D207" t="s">
        <v>72</v>
      </c>
      <c r="E207" t="s">
        <v>15</v>
      </c>
      <c r="F207" t="s">
        <v>73</v>
      </c>
      <c r="G207">
        <v>1</v>
      </c>
      <c r="H207">
        <v>2200</v>
      </c>
      <c r="I207">
        <v>10</v>
      </c>
      <c r="J207" t="s">
        <v>51</v>
      </c>
      <c r="K207" t="s">
        <v>18</v>
      </c>
    </row>
    <row r="208" spans="1:11" x14ac:dyDescent="0.3">
      <c r="A208" t="s">
        <v>419</v>
      </c>
      <c r="B208" t="s">
        <v>420</v>
      </c>
      <c r="C208" t="s">
        <v>95</v>
      </c>
      <c r="D208" t="s">
        <v>40</v>
      </c>
      <c r="E208" t="s">
        <v>27</v>
      </c>
      <c r="F208" t="s">
        <v>138</v>
      </c>
      <c r="G208">
        <v>1</v>
      </c>
      <c r="H208">
        <v>650</v>
      </c>
      <c r="I208">
        <v>10</v>
      </c>
      <c r="J208" t="s">
        <v>29</v>
      </c>
      <c r="K208" t="s">
        <v>18</v>
      </c>
    </row>
    <row r="209" spans="1:11" x14ac:dyDescent="0.3">
      <c r="A209" t="s">
        <v>421</v>
      </c>
      <c r="B209" t="s">
        <v>256</v>
      </c>
      <c r="C209" t="s">
        <v>44</v>
      </c>
      <c r="D209" t="s">
        <v>40</v>
      </c>
      <c r="E209" t="s">
        <v>27</v>
      </c>
      <c r="F209" t="s">
        <v>28</v>
      </c>
      <c r="G209">
        <v>2</v>
      </c>
      <c r="H209">
        <v>500</v>
      </c>
      <c r="I209">
        <v>10</v>
      </c>
      <c r="J209" t="s">
        <v>17</v>
      </c>
      <c r="K209" t="s">
        <v>18</v>
      </c>
    </row>
    <row r="210" spans="1:11" x14ac:dyDescent="0.3">
      <c r="A210" t="s">
        <v>422</v>
      </c>
      <c r="B210" t="s">
        <v>238</v>
      </c>
      <c r="C210" t="s">
        <v>105</v>
      </c>
      <c r="D210" t="s">
        <v>14</v>
      </c>
      <c r="E210" t="s">
        <v>65</v>
      </c>
      <c r="F210" t="s">
        <v>92</v>
      </c>
      <c r="G210">
        <v>2</v>
      </c>
      <c r="H210">
        <v>700</v>
      </c>
      <c r="I210">
        <v>15</v>
      </c>
      <c r="J210" t="s">
        <v>17</v>
      </c>
      <c r="K210" t="s">
        <v>36</v>
      </c>
    </row>
    <row r="211" spans="1:11" x14ac:dyDescent="0.3">
      <c r="A211" t="s">
        <v>423</v>
      </c>
      <c r="B211" t="s">
        <v>175</v>
      </c>
      <c r="C211" t="s">
        <v>71</v>
      </c>
      <c r="D211" t="s">
        <v>14</v>
      </c>
      <c r="E211" t="s">
        <v>27</v>
      </c>
      <c r="F211" t="s">
        <v>138</v>
      </c>
      <c r="G211">
        <v>3</v>
      </c>
      <c r="H211">
        <v>650</v>
      </c>
      <c r="I211">
        <v>5</v>
      </c>
      <c r="J211" t="s">
        <v>51</v>
      </c>
      <c r="K211" t="s">
        <v>30</v>
      </c>
    </row>
    <row r="212" spans="1:11" x14ac:dyDescent="0.3">
      <c r="A212" t="s">
        <v>424</v>
      </c>
      <c r="B212" t="s">
        <v>425</v>
      </c>
      <c r="C212" t="s">
        <v>249</v>
      </c>
      <c r="D212" t="s">
        <v>26</v>
      </c>
      <c r="E212" t="s">
        <v>15</v>
      </c>
      <c r="F212" t="s">
        <v>78</v>
      </c>
      <c r="G212">
        <v>2</v>
      </c>
      <c r="H212">
        <v>900</v>
      </c>
      <c r="I212">
        <v>10</v>
      </c>
      <c r="J212" t="s">
        <v>17</v>
      </c>
      <c r="K212" t="s">
        <v>22</v>
      </c>
    </row>
    <row r="213" spans="1:11" x14ac:dyDescent="0.3">
      <c r="A213" t="s">
        <v>426</v>
      </c>
      <c r="B213" t="s">
        <v>427</v>
      </c>
      <c r="C213" t="s">
        <v>71</v>
      </c>
      <c r="D213" t="s">
        <v>26</v>
      </c>
      <c r="E213" t="s">
        <v>27</v>
      </c>
      <c r="F213" t="s">
        <v>128</v>
      </c>
      <c r="G213">
        <v>5</v>
      </c>
      <c r="H213">
        <v>1800</v>
      </c>
      <c r="I213">
        <v>0</v>
      </c>
      <c r="K213" t="s">
        <v>36</v>
      </c>
    </row>
    <row r="214" spans="1:11" x14ac:dyDescent="0.3">
      <c r="A214" t="s">
        <v>428</v>
      </c>
      <c r="B214" t="s">
        <v>141</v>
      </c>
      <c r="C214" t="s">
        <v>249</v>
      </c>
      <c r="D214" t="s">
        <v>14</v>
      </c>
      <c r="E214" t="s">
        <v>15</v>
      </c>
      <c r="F214" t="s">
        <v>45</v>
      </c>
      <c r="G214">
        <v>5</v>
      </c>
      <c r="H214">
        <v>4500</v>
      </c>
      <c r="I214">
        <v>15</v>
      </c>
      <c r="J214" t="s">
        <v>17</v>
      </c>
      <c r="K214" t="s">
        <v>18</v>
      </c>
    </row>
    <row r="215" spans="1:11" x14ac:dyDescent="0.3">
      <c r="A215" t="s">
        <v>429</v>
      </c>
      <c r="B215" t="s">
        <v>430</v>
      </c>
      <c r="C215" t="s">
        <v>122</v>
      </c>
      <c r="D215" t="s">
        <v>72</v>
      </c>
      <c r="E215" t="s">
        <v>27</v>
      </c>
      <c r="F215" t="s">
        <v>171</v>
      </c>
      <c r="G215">
        <v>2</v>
      </c>
      <c r="H215">
        <v>550</v>
      </c>
      <c r="I215">
        <v>15</v>
      </c>
      <c r="J215" t="s">
        <v>51</v>
      </c>
      <c r="K215" t="s">
        <v>18</v>
      </c>
    </row>
    <row r="216" spans="1:11" x14ac:dyDescent="0.3">
      <c r="A216" t="s">
        <v>431</v>
      </c>
      <c r="B216" t="s">
        <v>127</v>
      </c>
      <c r="C216" t="s">
        <v>25</v>
      </c>
      <c r="D216" t="s">
        <v>72</v>
      </c>
      <c r="E216" t="s">
        <v>15</v>
      </c>
      <c r="F216" t="s">
        <v>16</v>
      </c>
      <c r="G216">
        <v>4</v>
      </c>
      <c r="H216">
        <v>1500</v>
      </c>
      <c r="I216">
        <v>15</v>
      </c>
      <c r="J216" t="s">
        <v>55</v>
      </c>
      <c r="K216" t="s">
        <v>30</v>
      </c>
    </row>
    <row r="217" spans="1:11" x14ac:dyDescent="0.3">
      <c r="A217" t="s">
        <v>432</v>
      </c>
      <c r="B217" t="s">
        <v>135</v>
      </c>
      <c r="C217" t="s">
        <v>48</v>
      </c>
      <c r="D217" t="s">
        <v>26</v>
      </c>
      <c r="E217" t="s">
        <v>27</v>
      </c>
      <c r="F217" t="s">
        <v>138</v>
      </c>
      <c r="G217">
        <v>3</v>
      </c>
      <c r="H217">
        <v>650</v>
      </c>
      <c r="I217">
        <v>15</v>
      </c>
      <c r="J217" t="s">
        <v>55</v>
      </c>
      <c r="K217" t="s">
        <v>30</v>
      </c>
    </row>
    <row r="218" spans="1:11" x14ac:dyDescent="0.3">
      <c r="A218" t="s">
        <v>433</v>
      </c>
      <c r="B218" t="s">
        <v>225</v>
      </c>
      <c r="C218" t="s">
        <v>179</v>
      </c>
      <c r="D218" t="s">
        <v>14</v>
      </c>
      <c r="E218" t="s">
        <v>27</v>
      </c>
      <c r="F218" t="s">
        <v>128</v>
      </c>
      <c r="G218">
        <v>4</v>
      </c>
      <c r="H218">
        <v>1800</v>
      </c>
      <c r="I218">
        <v>0</v>
      </c>
      <c r="J218" t="s">
        <v>51</v>
      </c>
      <c r="K218" t="s">
        <v>18</v>
      </c>
    </row>
    <row r="219" spans="1:11" x14ac:dyDescent="0.3">
      <c r="A219" t="s">
        <v>434</v>
      </c>
      <c r="B219" t="s">
        <v>435</v>
      </c>
      <c r="C219" t="s">
        <v>117</v>
      </c>
      <c r="D219" t="s">
        <v>26</v>
      </c>
      <c r="E219" t="s">
        <v>49</v>
      </c>
      <c r="F219" t="s">
        <v>157</v>
      </c>
      <c r="G219">
        <v>4</v>
      </c>
      <c r="H219">
        <v>1800</v>
      </c>
      <c r="I219">
        <v>20</v>
      </c>
      <c r="J219" t="s">
        <v>29</v>
      </c>
      <c r="K219" t="s">
        <v>22</v>
      </c>
    </row>
    <row r="220" spans="1:11" x14ac:dyDescent="0.3">
      <c r="A220" t="s">
        <v>436</v>
      </c>
      <c r="B220" t="s">
        <v>248</v>
      </c>
      <c r="C220" t="s">
        <v>88</v>
      </c>
      <c r="D220" t="s">
        <v>26</v>
      </c>
      <c r="E220" t="s">
        <v>49</v>
      </c>
      <c r="F220" t="s">
        <v>50</v>
      </c>
      <c r="G220">
        <v>2</v>
      </c>
      <c r="H220">
        <v>2200</v>
      </c>
      <c r="I220">
        <v>5</v>
      </c>
      <c r="J220" t="s">
        <v>29</v>
      </c>
      <c r="K220" t="s">
        <v>18</v>
      </c>
    </row>
    <row r="221" spans="1:11" x14ac:dyDescent="0.3">
      <c r="A221" t="s">
        <v>437</v>
      </c>
      <c r="B221" t="s">
        <v>280</v>
      </c>
      <c r="C221" t="s">
        <v>220</v>
      </c>
      <c r="D221" t="s">
        <v>40</v>
      </c>
      <c r="E221" t="s">
        <v>65</v>
      </c>
      <c r="F221" t="s">
        <v>96</v>
      </c>
      <c r="G221">
        <v>4</v>
      </c>
      <c r="H221">
        <v>900</v>
      </c>
      <c r="I221">
        <v>20</v>
      </c>
      <c r="J221" t="s">
        <v>29</v>
      </c>
      <c r="K221" t="s">
        <v>22</v>
      </c>
    </row>
    <row r="222" spans="1:11" x14ac:dyDescent="0.3">
      <c r="A222" t="s">
        <v>438</v>
      </c>
      <c r="B222" t="s">
        <v>340</v>
      </c>
      <c r="C222" t="s">
        <v>117</v>
      </c>
      <c r="D222" t="s">
        <v>40</v>
      </c>
      <c r="E222" t="s">
        <v>49</v>
      </c>
      <c r="F222" t="s">
        <v>351</v>
      </c>
      <c r="G222">
        <v>3</v>
      </c>
      <c r="H222">
        <v>2800</v>
      </c>
      <c r="I222">
        <v>15</v>
      </c>
      <c r="J222" t="s">
        <v>29</v>
      </c>
      <c r="K222" t="s">
        <v>30</v>
      </c>
    </row>
    <row r="223" spans="1:11" x14ac:dyDescent="0.3">
      <c r="A223" t="s">
        <v>439</v>
      </c>
      <c r="B223" t="s">
        <v>225</v>
      </c>
      <c r="C223" t="s">
        <v>109</v>
      </c>
      <c r="D223" t="s">
        <v>14</v>
      </c>
      <c r="E223" t="s">
        <v>27</v>
      </c>
      <c r="F223" t="s">
        <v>89</v>
      </c>
      <c r="G223">
        <v>3</v>
      </c>
      <c r="H223">
        <v>450</v>
      </c>
      <c r="I223">
        <v>10</v>
      </c>
      <c r="J223" t="s">
        <v>29</v>
      </c>
      <c r="K223" t="s">
        <v>30</v>
      </c>
    </row>
    <row r="224" spans="1:11" x14ac:dyDescent="0.3">
      <c r="A224" t="s">
        <v>440</v>
      </c>
      <c r="B224" t="s">
        <v>441</v>
      </c>
      <c r="C224" t="s">
        <v>125</v>
      </c>
      <c r="D224" t="s">
        <v>14</v>
      </c>
      <c r="E224" t="s">
        <v>15</v>
      </c>
      <c r="F224" t="s">
        <v>146</v>
      </c>
      <c r="G224">
        <v>3</v>
      </c>
      <c r="H224">
        <v>2500</v>
      </c>
      <c r="I224">
        <v>20</v>
      </c>
      <c r="J224" t="s">
        <v>51</v>
      </c>
      <c r="K224" t="s">
        <v>36</v>
      </c>
    </row>
    <row r="225" spans="1:11" x14ac:dyDescent="0.3">
      <c r="A225" t="s">
        <v>442</v>
      </c>
      <c r="B225" t="s">
        <v>387</v>
      </c>
      <c r="C225" t="s">
        <v>33</v>
      </c>
      <c r="D225" t="s">
        <v>26</v>
      </c>
      <c r="E225" t="s">
        <v>65</v>
      </c>
      <c r="F225" t="s">
        <v>92</v>
      </c>
      <c r="G225">
        <v>5</v>
      </c>
      <c r="H225">
        <v>700</v>
      </c>
      <c r="I225">
        <v>20</v>
      </c>
      <c r="J225" t="s">
        <v>17</v>
      </c>
      <c r="K225" t="s">
        <v>22</v>
      </c>
    </row>
    <row r="226" spans="1:11" x14ac:dyDescent="0.3">
      <c r="A226" t="s">
        <v>443</v>
      </c>
      <c r="B226" t="s">
        <v>385</v>
      </c>
      <c r="C226" t="s">
        <v>159</v>
      </c>
      <c r="D226" t="s">
        <v>26</v>
      </c>
      <c r="E226" t="s">
        <v>15</v>
      </c>
      <c r="F226" t="s">
        <v>146</v>
      </c>
      <c r="G226">
        <v>5</v>
      </c>
      <c r="H226">
        <v>2500</v>
      </c>
      <c r="I226">
        <v>10</v>
      </c>
      <c r="J226" t="s">
        <v>55</v>
      </c>
      <c r="K226" t="s">
        <v>22</v>
      </c>
    </row>
    <row r="227" spans="1:11" x14ac:dyDescent="0.3">
      <c r="A227" t="s">
        <v>444</v>
      </c>
      <c r="B227" t="s">
        <v>445</v>
      </c>
      <c r="C227" t="s">
        <v>166</v>
      </c>
      <c r="D227" t="s">
        <v>40</v>
      </c>
      <c r="E227" t="s">
        <v>27</v>
      </c>
      <c r="F227" t="s">
        <v>128</v>
      </c>
      <c r="G227">
        <v>1</v>
      </c>
      <c r="H227">
        <v>1800</v>
      </c>
      <c r="I227">
        <v>0</v>
      </c>
      <c r="J227" t="s">
        <v>55</v>
      </c>
      <c r="K227" t="s">
        <v>30</v>
      </c>
    </row>
    <row r="228" spans="1:11" x14ac:dyDescent="0.3">
      <c r="A228" t="s">
        <v>446</v>
      </c>
      <c r="B228" t="s">
        <v>121</v>
      </c>
      <c r="C228" t="s">
        <v>105</v>
      </c>
      <c r="D228" t="s">
        <v>14</v>
      </c>
      <c r="E228" t="s">
        <v>65</v>
      </c>
      <c r="F228" t="s">
        <v>92</v>
      </c>
      <c r="G228">
        <v>3</v>
      </c>
      <c r="H228">
        <v>700</v>
      </c>
      <c r="I228">
        <v>20</v>
      </c>
      <c r="J228" t="s">
        <v>51</v>
      </c>
      <c r="K228" t="s">
        <v>22</v>
      </c>
    </row>
    <row r="229" spans="1:11" x14ac:dyDescent="0.3">
      <c r="A229" t="s">
        <v>447</v>
      </c>
      <c r="B229" t="s">
        <v>253</v>
      </c>
      <c r="C229" t="s">
        <v>125</v>
      </c>
      <c r="D229" t="s">
        <v>26</v>
      </c>
      <c r="E229" t="s">
        <v>65</v>
      </c>
      <c r="F229" t="s">
        <v>92</v>
      </c>
      <c r="G229">
        <v>5</v>
      </c>
      <c r="H229">
        <v>700</v>
      </c>
      <c r="I229">
        <v>20</v>
      </c>
      <c r="J229" t="s">
        <v>29</v>
      </c>
      <c r="K229" t="s">
        <v>30</v>
      </c>
    </row>
    <row r="230" spans="1:11" x14ac:dyDescent="0.3">
      <c r="A230" t="s">
        <v>448</v>
      </c>
      <c r="B230" t="s">
        <v>53</v>
      </c>
      <c r="C230" t="s">
        <v>179</v>
      </c>
      <c r="D230" t="s">
        <v>40</v>
      </c>
      <c r="E230" t="s">
        <v>65</v>
      </c>
      <c r="F230" t="s">
        <v>85</v>
      </c>
      <c r="G230">
        <v>4</v>
      </c>
      <c r="H230">
        <v>650</v>
      </c>
      <c r="I230">
        <v>20</v>
      </c>
      <c r="J230" t="s">
        <v>51</v>
      </c>
      <c r="K230" t="s">
        <v>36</v>
      </c>
    </row>
    <row r="231" spans="1:11" x14ac:dyDescent="0.3">
      <c r="A231" t="s">
        <v>449</v>
      </c>
      <c r="B231" t="s">
        <v>141</v>
      </c>
      <c r="C231" t="s">
        <v>249</v>
      </c>
      <c r="D231" t="s">
        <v>14</v>
      </c>
      <c r="E231" t="s">
        <v>27</v>
      </c>
      <c r="F231" t="s">
        <v>28</v>
      </c>
      <c r="G231">
        <v>1</v>
      </c>
      <c r="H231">
        <v>500</v>
      </c>
      <c r="I231">
        <v>20</v>
      </c>
      <c r="J231" t="s">
        <v>29</v>
      </c>
      <c r="K231" t="s">
        <v>22</v>
      </c>
    </row>
    <row r="232" spans="1:11" x14ac:dyDescent="0.3">
      <c r="A232" t="s">
        <v>450</v>
      </c>
      <c r="B232" t="s">
        <v>57</v>
      </c>
      <c r="C232" t="s">
        <v>105</v>
      </c>
      <c r="D232" t="s">
        <v>14</v>
      </c>
      <c r="E232" t="s">
        <v>27</v>
      </c>
      <c r="F232" t="s">
        <v>128</v>
      </c>
      <c r="G232">
        <v>1</v>
      </c>
      <c r="H232">
        <v>1800</v>
      </c>
      <c r="I232">
        <v>20</v>
      </c>
      <c r="J232" t="s">
        <v>114</v>
      </c>
      <c r="K232" t="s">
        <v>22</v>
      </c>
    </row>
    <row r="233" spans="1:11" x14ac:dyDescent="0.3">
      <c r="A233" t="s">
        <v>451</v>
      </c>
      <c r="B233" t="s">
        <v>135</v>
      </c>
      <c r="C233" t="s">
        <v>109</v>
      </c>
      <c r="D233" t="s">
        <v>14</v>
      </c>
      <c r="E233" t="s">
        <v>15</v>
      </c>
      <c r="F233" t="s">
        <v>146</v>
      </c>
      <c r="G233">
        <v>4</v>
      </c>
      <c r="H233">
        <v>2500</v>
      </c>
      <c r="I233">
        <v>5</v>
      </c>
      <c r="J233" t="s">
        <v>29</v>
      </c>
      <c r="K233" t="s">
        <v>18</v>
      </c>
    </row>
    <row r="234" spans="1:11" x14ac:dyDescent="0.3">
      <c r="A234" t="s">
        <v>452</v>
      </c>
      <c r="B234" t="s">
        <v>275</v>
      </c>
      <c r="C234" t="s">
        <v>21</v>
      </c>
      <c r="D234" t="s">
        <v>26</v>
      </c>
      <c r="E234" t="s">
        <v>15</v>
      </c>
      <c r="F234" t="s">
        <v>73</v>
      </c>
      <c r="G234">
        <v>4</v>
      </c>
      <c r="H234">
        <v>2200</v>
      </c>
      <c r="I234">
        <v>20</v>
      </c>
      <c r="J234" t="s">
        <v>29</v>
      </c>
      <c r="K234" t="s">
        <v>30</v>
      </c>
    </row>
    <row r="235" spans="1:11" x14ac:dyDescent="0.3">
      <c r="A235" t="s">
        <v>453</v>
      </c>
      <c r="B235" t="s">
        <v>357</v>
      </c>
      <c r="C235" t="s">
        <v>179</v>
      </c>
      <c r="D235" t="s">
        <v>26</v>
      </c>
      <c r="E235" t="s">
        <v>49</v>
      </c>
      <c r="F235" t="s">
        <v>58</v>
      </c>
      <c r="G235">
        <v>3</v>
      </c>
      <c r="H235">
        <v>3200</v>
      </c>
      <c r="I235">
        <v>20</v>
      </c>
      <c r="J235" t="s">
        <v>29</v>
      </c>
      <c r="K235" t="s">
        <v>22</v>
      </c>
    </row>
    <row r="236" spans="1:11" x14ac:dyDescent="0.3">
      <c r="A236" t="s">
        <v>454</v>
      </c>
      <c r="B236" t="s">
        <v>251</v>
      </c>
      <c r="C236" t="s">
        <v>122</v>
      </c>
      <c r="D236" t="s">
        <v>14</v>
      </c>
      <c r="E236" t="s">
        <v>49</v>
      </c>
      <c r="F236" t="s">
        <v>50</v>
      </c>
      <c r="G236">
        <v>3</v>
      </c>
      <c r="H236">
        <v>2200</v>
      </c>
      <c r="I236">
        <v>10</v>
      </c>
      <c r="J236" t="s">
        <v>55</v>
      </c>
      <c r="K236" t="s">
        <v>18</v>
      </c>
    </row>
    <row r="237" spans="1:11" x14ac:dyDescent="0.3">
      <c r="A237" t="s">
        <v>455</v>
      </c>
      <c r="B237" t="s">
        <v>161</v>
      </c>
      <c r="C237" t="s">
        <v>99</v>
      </c>
      <c r="D237" t="s">
        <v>26</v>
      </c>
      <c r="E237" t="s">
        <v>34</v>
      </c>
      <c r="F237" t="s">
        <v>62</v>
      </c>
      <c r="G237">
        <v>3</v>
      </c>
      <c r="H237">
        <v>900</v>
      </c>
      <c r="I237">
        <v>0</v>
      </c>
      <c r="J237" t="s">
        <v>29</v>
      </c>
      <c r="K237" t="s">
        <v>18</v>
      </c>
    </row>
    <row r="238" spans="1:11" x14ac:dyDescent="0.3">
      <c r="A238" t="s">
        <v>456</v>
      </c>
      <c r="B238" t="s">
        <v>355</v>
      </c>
      <c r="C238" t="s">
        <v>117</v>
      </c>
      <c r="D238" t="s">
        <v>26</v>
      </c>
      <c r="E238" t="s">
        <v>34</v>
      </c>
      <c r="F238" t="s">
        <v>35</v>
      </c>
      <c r="G238">
        <v>1</v>
      </c>
      <c r="H238">
        <v>3500</v>
      </c>
      <c r="I238">
        <v>10</v>
      </c>
      <c r="J238" t="s">
        <v>29</v>
      </c>
      <c r="K238" t="s">
        <v>30</v>
      </c>
    </row>
    <row r="239" spans="1:11" x14ac:dyDescent="0.3">
      <c r="A239" t="s">
        <v>457</v>
      </c>
      <c r="B239" t="s">
        <v>305</v>
      </c>
      <c r="C239" t="s">
        <v>44</v>
      </c>
      <c r="D239" t="s">
        <v>26</v>
      </c>
      <c r="E239" t="s">
        <v>65</v>
      </c>
      <c r="F239" t="s">
        <v>106</v>
      </c>
      <c r="G239">
        <v>5</v>
      </c>
      <c r="H239">
        <v>750</v>
      </c>
      <c r="I239">
        <v>10</v>
      </c>
      <c r="J239" t="s">
        <v>55</v>
      </c>
      <c r="K239" t="s">
        <v>36</v>
      </c>
    </row>
    <row r="240" spans="1:11" x14ac:dyDescent="0.3">
      <c r="A240" t="s">
        <v>458</v>
      </c>
      <c r="B240" t="s">
        <v>382</v>
      </c>
      <c r="C240" t="s">
        <v>13</v>
      </c>
      <c r="D240" t="s">
        <v>40</v>
      </c>
      <c r="E240" t="s">
        <v>27</v>
      </c>
      <c r="F240" t="s">
        <v>128</v>
      </c>
      <c r="G240">
        <v>5</v>
      </c>
      <c r="H240">
        <v>1800</v>
      </c>
      <c r="I240">
        <v>5</v>
      </c>
      <c r="J240" t="s">
        <v>55</v>
      </c>
      <c r="K240" t="s">
        <v>36</v>
      </c>
    </row>
    <row r="241" spans="1:11" x14ac:dyDescent="0.3">
      <c r="A241" t="s">
        <v>459</v>
      </c>
      <c r="B241" t="s">
        <v>460</v>
      </c>
      <c r="C241" t="s">
        <v>133</v>
      </c>
      <c r="D241" t="s">
        <v>72</v>
      </c>
      <c r="E241" t="s">
        <v>15</v>
      </c>
      <c r="F241" t="s">
        <v>146</v>
      </c>
      <c r="G241">
        <v>1</v>
      </c>
      <c r="H241">
        <v>2500</v>
      </c>
      <c r="I241">
        <v>5</v>
      </c>
      <c r="J241" t="s">
        <v>17</v>
      </c>
      <c r="K241" t="s">
        <v>22</v>
      </c>
    </row>
    <row r="242" spans="1:11" x14ac:dyDescent="0.3">
      <c r="A242" t="s">
        <v>461</v>
      </c>
      <c r="B242" t="s">
        <v>462</v>
      </c>
      <c r="C242" t="s">
        <v>249</v>
      </c>
      <c r="D242" t="s">
        <v>14</v>
      </c>
      <c r="E242" t="s">
        <v>65</v>
      </c>
      <c r="F242" t="s">
        <v>66</v>
      </c>
      <c r="G242">
        <v>3</v>
      </c>
      <c r="H242">
        <v>850</v>
      </c>
      <c r="I242">
        <v>10</v>
      </c>
      <c r="J242" t="s">
        <v>51</v>
      </c>
      <c r="K242" t="s">
        <v>36</v>
      </c>
    </row>
    <row r="243" spans="1:11" x14ac:dyDescent="0.3">
      <c r="A243" t="s">
        <v>463</v>
      </c>
      <c r="B243" t="s">
        <v>464</v>
      </c>
      <c r="C243" t="s">
        <v>99</v>
      </c>
      <c r="D243" t="s">
        <v>40</v>
      </c>
      <c r="E243" t="s">
        <v>15</v>
      </c>
      <c r="F243" t="s">
        <v>45</v>
      </c>
      <c r="G243">
        <v>2</v>
      </c>
      <c r="H243">
        <v>4500</v>
      </c>
      <c r="I243">
        <v>15</v>
      </c>
      <c r="J243" t="s">
        <v>55</v>
      </c>
      <c r="K243" t="s">
        <v>36</v>
      </c>
    </row>
    <row r="244" spans="1:11" x14ac:dyDescent="0.3">
      <c r="A244" t="s">
        <v>465</v>
      </c>
      <c r="B244" t="s">
        <v>246</v>
      </c>
      <c r="C244" t="s">
        <v>84</v>
      </c>
      <c r="D244" t="s">
        <v>26</v>
      </c>
      <c r="E244" t="s">
        <v>65</v>
      </c>
      <c r="F244" t="s">
        <v>66</v>
      </c>
      <c r="G244">
        <v>1</v>
      </c>
      <c r="H244">
        <v>850</v>
      </c>
      <c r="I244">
        <v>0</v>
      </c>
      <c r="J244" t="s">
        <v>51</v>
      </c>
      <c r="K244" t="s">
        <v>36</v>
      </c>
    </row>
    <row r="245" spans="1:11" x14ac:dyDescent="0.3">
      <c r="A245" t="s">
        <v>466</v>
      </c>
      <c r="B245" t="s">
        <v>121</v>
      </c>
      <c r="C245" t="s">
        <v>249</v>
      </c>
      <c r="D245" t="s">
        <v>72</v>
      </c>
      <c r="E245" t="s">
        <v>34</v>
      </c>
      <c r="F245" t="s">
        <v>41</v>
      </c>
      <c r="G245">
        <v>2</v>
      </c>
      <c r="H245">
        <v>1600</v>
      </c>
      <c r="I245">
        <v>20</v>
      </c>
      <c r="J245" t="s">
        <v>29</v>
      </c>
      <c r="K245" t="s">
        <v>30</v>
      </c>
    </row>
    <row r="246" spans="1:11" x14ac:dyDescent="0.3">
      <c r="A246" t="s">
        <v>467</v>
      </c>
      <c r="B246" t="s">
        <v>460</v>
      </c>
      <c r="C246" t="s">
        <v>71</v>
      </c>
      <c r="D246" t="s">
        <v>72</v>
      </c>
      <c r="E246" t="s">
        <v>49</v>
      </c>
      <c r="F246" t="s">
        <v>182</v>
      </c>
      <c r="G246">
        <v>3</v>
      </c>
      <c r="H246">
        <v>800</v>
      </c>
      <c r="I246">
        <v>5</v>
      </c>
      <c r="J246" t="s">
        <v>17</v>
      </c>
      <c r="K246" t="s">
        <v>30</v>
      </c>
    </row>
    <row r="247" spans="1:11" x14ac:dyDescent="0.3">
      <c r="A247" t="s">
        <v>468</v>
      </c>
      <c r="B247" t="s">
        <v>309</v>
      </c>
      <c r="C247" t="s">
        <v>33</v>
      </c>
      <c r="E247" t="s">
        <v>34</v>
      </c>
      <c r="F247" t="s">
        <v>81</v>
      </c>
      <c r="G247">
        <v>2</v>
      </c>
      <c r="H247">
        <v>700</v>
      </c>
      <c r="I247">
        <v>20</v>
      </c>
      <c r="J247" t="s">
        <v>29</v>
      </c>
      <c r="K247" t="s">
        <v>18</v>
      </c>
    </row>
    <row r="248" spans="1:11" x14ac:dyDescent="0.3">
      <c r="A248" t="s">
        <v>469</v>
      </c>
      <c r="B248" t="s">
        <v>470</v>
      </c>
      <c r="C248" t="s">
        <v>176</v>
      </c>
      <c r="D248" t="s">
        <v>40</v>
      </c>
      <c r="E248" t="s">
        <v>27</v>
      </c>
      <c r="F248" t="s">
        <v>171</v>
      </c>
      <c r="G248">
        <v>2</v>
      </c>
      <c r="H248">
        <v>550</v>
      </c>
      <c r="I248">
        <v>5</v>
      </c>
      <c r="J248" t="s">
        <v>29</v>
      </c>
      <c r="K248" t="s">
        <v>30</v>
      </c>
    </row>
    <row r="249" spans="1:11" x14ac:dyDescent="0.3">
      <c r="A249" t="s">
        <v>471</v>
      </c>
      <c r="B249" t="s">
        <v>164</v>
      </c>
      <c r="C249" t="s">
        <v>176</v>
      </c>
      <c r="D249" t="s">
        <v>14</v>
      </c>
      <c r="E249" t="s">
        <v>49</v>
      </c>
      <c r="F249" t="s">
        <v>182</v>
      </c>
      <c r="G249">
        <v>4</v>
      </c>
      <c r="H249">
        <v>800</v>
      </c>
      <c r="I249">
        <v>10</v>
      </c>
      <c r="J249" t="s">
        <v>51</v>
      </c>
      <c r="K249" t="s">
        <v>30</v>
      </c>
    </row>
    <row r="250" spans="1:11" x14ac:dyDescent="0.3">
      <c r="A250" t="s">
        <v>472</v>
      </c>
      <c r="B250" t="s">
        <v>473</v>
      </c>
      <c r="C250" t="s">
        <v>39</v>
      </c>
      <c r="D250" t="s">
        <v>26</v>
      </c>
      <c r="E250" t="s">
        <v>27</v>
      </c>
      <c r="F250" t="s">
        <v>128</v>
      </c>
      <c r="G250">
        <v>2</v>
      </c>
      <c r="H250">
        <v>1800</v>
      </c>
      <c r="I250">
        <v>0</v>
      </c>
      <c r="J250" t="s">
        <v>17</v>
      </c>
      <c r="K250" t="s">
        <v>18</v>
      </c>
    </row>
    <row r="251" spans="1:11" x14ac:dyDescent="0.3">
      <c r="A251" t="s">
        <v>474</v>
      </c>
      <c r="B251" t="s">
        <v>111</v>
      </c>
      <c r="C251" t="s">
        <v>154</v>
      </c>
      <c r="D251" t="s">
        <v>26</v>
      </c>
      <c r="E251" t="s">
        <v>34</v>
      </c>
      <c r="F251" t="s">
        <v>35</v>
      </c>
      <c r="G251">
        <v>1</v>
      </c>
      <c r="H251">
        <v>3500</v>
      </c>
      <c r="I251">
        <v>10</v>
      </c>
      <c r="J251" t="s">
        <v>51</v>
      </c>
      <c r="K251" t="s">
        <v>22</v>
      </c>
    </row>
    <row r="252" spans="1:11" x14ac:dyDescent="0.3">
      <c r="A252" t="s">
        <v>475</v>
      </c>
      <c r="B252" t="s">
        <v>462</v>
      </c>
      <c r="C252" t="s">
        <v>105</v>
      </c>
      <c r="D252" t="s">
        <v>72</v>
      </c>
      <c r="E252" t="s">
        <v>49</v>
      </c>
      <c r="F252" t="s">
        <v>157</v>
      </c>
      <c r="G252">
        <v>5</v>
      </c>
      <c r="H252">
        <v>1800</v>
      </c>
      <c r="I252">
        <v>10</v>
      </c>
      <c r="J252" t="s">
        <v>29</v>
      </c>
      <c r="K252" t="s">
        <v>18</v>
      </c>
    </row>
    <row r="253" spans="1:11" x14ac:dyDescent="0.3">
      <c r="A253" t="s">
        <v>476</v>
      </c>
      <c r="B253" t="s">
        <v>414</v>
      </c>
      <c r="C253" t="s">
        <v>154</v>
      </c>
      <c r="D253" t="s">
        <v>40</v>
      </c>
      <c r="E253" t="s">
        <v>27</v>
      </c>
      <c r="F253" t="s">
        <v>138</v>
      </c>
      <c r="G253">
        <v>5</v>
      </c>
      <c r="H253">
        <v>650</v>
      </c>
      <c r="I253">
        <v>15</v>
      </c>
      <c r="J253" t="s">
        <v>51</v>
      </c>
      <c r="K253" t="s">
        <v>36</v>
      </c>
    </row>
    <row r="254" spans="1:11" x14ac:dyDescent="0.3">
      <c r="A254" t="s">
        <v>477</v>
      </c>
      <c r="B254" t="s">
        <v>478</v>
      </c>
      <c r="C254" t="s">
        <v>44</v>
      </c>
      <c r="D254" t="s">
        <v>14</v>
      </c>
      <c r="E254" t="s">
        <v>27</v>
      </c>
      <c r="F254" t="s">
        <v>89</v>
      </c>
      <c r="G254">
        <v>5</v>
      </c>
      <c r="H254">
        <v>450</v>
      </c>
      <c r="I254">
        <v>20</v>
      </c>
      <c r="J254" t="s">
        <v>55</v>
      </c>
      <c r="K254" t="s">
        <v>22</v>
      </c>
    </row>
    <row r="255" spans="1:11" x14ac:dyDescent="0.3">
      <c r="A255" t="s">
        <v>479</v>
      </c>
      <c r="B255" t="s">
        <v>480</v>
      </c>
      <c r="C255" t="s">
        <v>142</v>
      </c>
      <c r="D255" t="s">
        <v>14</v>
      </c>
      <c r="E255" t="s">
        <v>34</v>
      </c>
      <c r="F255" t="s">
        <v>81</v>
      </c>
      <c r="G255">
        <v>5</v>
      </c>
      <c r="H255">
        <v>700</v>
      </c>
      <c r="I255">
        <v>15</v>
      </c>
      <c r="J255" t="s">
        <v>17</v>
      </c>
      <c r="K255" t="s">
        <v>18</v>
      </c>
    </row>
    <row r="256" spans="1:11" x14ac:dyDescent="0.3">
      <c r="A256" t="s">
        <v>481</v>
      </c>
      <c r="B256" t="s">
        <v>482</v>
      </c>
      <c r="C256" t="s">
        <v>166</v>
      </c>
      <c r="D256" t="s">
        <v>72</v>
      </c>
      <c r="E256" t="s">
        <v>15</v>
      </c>
      <c r="F256" t="s">
        <v>146</v>
      </c>
      <c r="G256">
        <v>4</v>
      </c>
      <c r="H256">
        <v>2500</v>
      </c>
      <c r="I256">
        <v>20</v>
      </c>
      <c r="J256" t="s">
        <v>17</v>
      </c>
      <c r="K256" t="s">
        <v>18</v>
      </c>
    </row>
    <row r="257" spans="1:11" x14ac:dyDescent="0.3">
      <c r="A257" t="s">
        <v>483</v>
      </c>
      <c r="B257" t="s">
        <v>353</v>
      </c>
      <c r="C257" t="s">
        <v>39</v>
      </c>
      <c r="D257" t="s">
        <v>40</v>
      </c>
      <c r="E257" t="s">
        <v>34</v>
      </c>
      <c r="F257" t="s">
        <v>100</v>
      </c>
      <c r="G257">
        <v>2</v>
      </c>
      <c r="H257">
        <v>1200</v>
      </c>
      <c r="I257">
        <v>20</v>
      </c>
      <c r="J257" t="s">
        <v>17</v>
      </c>
      <c r="K257" t="s">
        <v>36</v>
      </c>
    </row>
    <row r="258" spans="1:11" x14ac:dyDescent="0.3">
      <c r="A258" t="s">
        <v>484</v>
      </c>
      <c r="B258" t="s">
        <v>233</v>
      </c>
      <c r="C258" t="s">
        <v>61</v>
      </c>
      <c r="D258" t="s">
        <v>40</v>
      </c>
      <c r="E258" t="s">
        <v>65</v>
      </c>
      <c r="F258" t="s">
        <v>96</v>
      </c>
      <c r="G258">
        <v>1</v>
      </c>
      <c r="H258">
        <v>900</v>
      </c>
      <c r="I258">
        <v>15</v>
      </c>
      <c r="J258" t="s">
        <v>17</v>
      </c>
      <c r="K258" t="s">
        <v>30</v>
      </c>
    </row>
    <row r="259" spans="1:11" x14ac:dyDescent="0.3">
      <c r="A259" t="s">
        <v>485</v>
      </c>
      <c r="B259" t="s">
        <v>191</v>
      </c>
      <c r="C259" t="s">
        <v>33</v>
      </c>
      <c r="D259" t="s">
        <v>72</v>
      </c>
      <c r="E259" t="s">
        <v>65</v>
      </c>
      <c r="F259" t="s">
        <v>106</v>
      </c>
      <c r="G259">
        <v>3</v>
      </c>
      <c r="H259">
        <v>750</v>
      </c>
      <c r="I259">
        <v>15</v>
      </c>
      <c r="J259" t="s">
        <v>29</v>
      </c>
      <c r="K259" t="s">
        <v>18</v>
      </c>
    </row>
    <row r="260" spans="1:11" x14ac:dyDescent="0.3">
      <c r="A260" t="s">
        <v>486</v>
      </c>
      <c r="B260" t="s">
        <v>487</v>
      </c>
      <c r="C260" t="s">
        <v>154</v>
      </c>
      <c r="D260" t="s">
        <v>14</v>
      </c>
      <c r="E260" t="s">
        <v>65</v>
      </c>
      <c r="F260" t="s">
        <v>85</v>
      </c>
      <c r="G260">
        <v>3</v>
      </c>
      <c r="H260">
        <v>650</v>
      </c>
      <c r="I260">
        <v>0</v>
      </c>
      <c r="J260" t="s">
        <v>55</v>
      </c>
      <c r="K260" t="s">
        <v>18</v>
      </c>
    </row>
    <row r="261" spans="1:11" x14ac:dyDescent="0.3">
      <c r="A261" t="s">
        <v>488</v>
      </c>
      <c r="B261" t="s">
        <v>260</v>
      </c>
      <c r="C261" t="s">
        <v>44</v>
      </c>
      <c r="D261" t="s">
        <v>40</v>
      </c>
      <c r="E261" t="s">
        <v>27</v>
      </c>
      <c r="F261" t="s">
        <v>138</v>
      </c>
      <c r="G261">
        <v>1</v>
      </c>
      <c r="H261">
        <v>650</v>
      </c>
      <c r="I261">
        <v>10</v>
      </c>
      <c r="J261" t="s">
        <v>29</v>
      </c>
      <c r="K261" t="s">
        <v>18</v>
      </c>
    </row>
    <row r="262" spans="1:11" x14ac:dyDescent="0.3">
      <c r="A262" t="s">
        <v>489</v>
      </c>
      <c r="B262" t="s">
        <v>490</v>
      </c>
      <c r="C262" t="s">
        <v>13</v>
      </c>
      <c r="D262" t="s">
        <v>72</v>
      </c>
      <c r="E262" t="s">
        <v>27</v>
      </c>
      <c r="F262" t="s">
        <v>28</v>
      </c>
      <c r="G262">
        <v>3</v>
      </c>
      <c r="H262">
        <v>500</v>
      </c>
      <c r="I262">
        <v>5</v>
      </c>
      <c r="J262" t="s">
        <v>51</v>
      </c>
      <c r="K262" t="s">
        <v>22</v>
      </c>
    </row>
    <row r="263" spans="1:11" x14ac:dyDescent="0.3">
      <c r="A263" t="s">
        <v>491</v>
      </c>
      <c r="B263" t="s">
        <v>170</v>
      </c>
      <c r="C263" t="s">
        <v>109</v>
      </c>
      <c r="D263" t="s">
        <v>40</v>
      </c>
      <c r="E263" t="s">
        <v>15</v>
      </c>
      <c r="F263" t="s">
        <v>16</v>
      </c>
      <c r="G263">
        <v>2</v>
      </c>
      <c r="H263">
        <v>1500</v>
      </c>
      <c r="I263">
        <v>5</v>
      </c>
      <c r="J263" t="s">
        <v>17</v>
      </c>
      <c r="K263" t="s">
        <v>36</v>
      </c>
    </row>
    <row r="264" spans="1:11" x14ac:dyDescent="0.3">
      <c r="A264" t="s">
        <v>492</v>
      </c>
      <c r="B264" t="s">
        <v>327</v>
      </c>
      <c r="C264" t="s">
        <v>215</v>
      </c>
      <c r="D264" t="s">
        <v>40</v>
      </c>
      <c r="E264" t="s">
        <v>27</v>
      </c>
      <c r="F264" t="s">
        <v>89</v>
      </c>
      <c r="G264">
        <v>2</v>
      </c>
      <c r="H264">
        <v>450</v>
      </c>
      <c r="I264">
        <v>0</v>
      </c>
      <c r="J264" t="s">
        <v>29</v>
      </c>
      <c r="K264" t="s">
        <v>18</v>
      </c>
    </row>
    <row r="265" spans="1:11" x14ac:dyDescent="0.3">
      <c r="A265" t="s">
        <v>493</v>
      </c>
      <c r="B265" t="s">
        <v>32</v>
      </c>
      <c r="C265" t="s">
        <v>33</v>
      </c>
      <c r="D265" t="s">
        <v>40</v>
      </c>
      <c r="E265" t="s">
        <v>49</v>
      </c>
      <c r="F265" t="s">
        <v>351</v>
      </c>
      <c r="G265">
        <v>2</v>
      </c>
      <c r="H265">
        <v>2800</v>
      </c>
      <c r="I265">
        <v>20</v>
      </c>
      <c r="J265" t="s">
        <v>51</v>
      </c>
      <c r="K265" t="s">
        <v>22</v>
      </c>
    </row>
    <row r="266" spans="1:11" x14ac:dyDescent="0.3">
      <c r="A266" t="s">
        <v>494</v>
      </c>
      <c r="B266" t="s">
        <v>248</v>
      </c>
      <c r="C266" t="s">
        <v>215</v>
      </c>
      <c r="D266" t="s">
        <v>26</v>
      </c>
      <c r="E266" t="s">
        <v>27</v>
      </c>
      <c r="F266" t="s">
        <v>171</v>
      </c>
      <c r="G266">
        <v>2</v>
      </c>
      <c r="H266">
        <v>550</v>
      </c>
      <c r="I266">
        <v>10</v>
      </c>
      <c r="J266" t="s">
        <v>55</v>
      </c>
      <c r="K266" t="s">
        <v>22</v>
      </c>
    </row>
    <row r="267" spans="1:11" x14ac:dyDescent="0.3">
      <c r="A267" t="s">
        <v>495</v>
      </c>
      <c r="B267" t="s">
        <v>12</v>
      </c>
      <c r="C267" t="s">
        <v>117</v>
      </c>
      <c r="D267" t="s">
        <v>14</v>
      </c>
      <c r="E267" t="s">
        <v>65</v>
      </c>
      <c r="F267" t="s">
        <v>96</v>
      </c>
      <c r="G267">
        <v>4</v>
      </c>
      <c r="H267">
        <v>900</v>
      </c>
      <c r="I267">
        <v>20</v>
      </c>
      <c r="J267" t="s">
        <v>29</v>
      </c>
      <c r="K267" t="s">
        <v>36</v>
      </c>
    </row>
    <row r="268" spans="1:11" x14ac:dyDescent="0.3">
      <c r="A268" t="s">
        <v>496</v>
      </c>
      <c r="B268" t="s">
        <v>497</v>
      </c>
      <c r="C268" t="s">
        <v>179</v>
      </c>
      <c r="D268" t="s">
        <v>72</v>
      </c>
      <c r="E268" t="s">
        <v>34</v>
      </c>
      <c r="F268" t="s">
        <v>62</v>
      </c>
      <c r="G268">
        <v>4</v>
      </c>
      <c r="H268">
        <v>900</v>
      </c>
      <c r="I268">
        <v>5</v>
      </c>
      <c r="J268" t="s">
        <v>51</v>
      </c>
      <c r="K268" t="s">
        <v>18</v>
      </c>
    </row>
    <row r="269" spans="1:11" x14ac:dyDescent="0.3">
      <c r="A269" t="s">
        <v>498</v>
      </c>
      <c r="B269" t="s">
        <v>499</v>
      </c>
      <c r="C269" t="s">
        <v>13</v>
      </c>
      <c r="D269" t="s">
        <v>14</v>
      </c>
      <c r="E269" t="s">
        <v>49</v>
      </c>
      <c r="F269" t="s">
        <v>351</v>
      </c>
      <c r="G269">
        <v>3</v>
      </c>
      <c r="H269">
        <v>2800</v>
      </c>
      <c r="I269">
        <v>5</v>
      </c>
      <c r="J269" t="s">
        <v>29</v>
      </c>
      <c r="K269" t="s">
        <v>36</v>
      </c>
    </row>
    <row r="270" spans="1:11" x14ac:dyDescent="0.3">
      <c r="A270" t="s">
        <v>500</v>
      </c>
      <c r="B270" t="s">
        <v>389</v>
      </c>
      <c r="C270" t="s">
        <v>99</v>
      </c>
      <c r="D270" t="s">
        <v>14</v>
      </c>
      <c r="E270" t="s">
        <v>27</v>
      </c>
      <c r="F270" t="s">
        <v>28</v>
      </c>
      <c r="G270">
        <v>4</v>
      </c>
      <c r="H270">
        <v>500</v>
      </c>
      <c r="I270">
        <v>5</v>
      </c>
      <c r="J270" t="s">
        <v>51</v>
      </c>
      <c r="K270" t="s">
        <v>22</v>
      </c>
    </row>
    <row r="271" spans="1:11" x14ac:dyDescent="0.3">
      <c r="A271" t="s">
        <v>501</v>
      </c>
      <c r="B271" t="s">
        <v>387</v>
      </c>
      <c r="C271" t="s">
        <v>48</v>
      </c>
      <c r="D271" t="s">
        <v>26</v>
      </c>
      <c r="E271" t="s">
        <v>34</v>
      </c>
      <c r="F271" t="s">
        <v>100</v>
      </c>
      <c r="G271">
        <v>1</v>
      </c>
      <c r="H271">
        <v>1200</v>
      </c>
      <c r="I271">
        <v>20</v>
      </c>
      <c r="J271" t="s">
        <v>55</v>
      </c>
      <c r="K271" t="s">
        <v>36</v>
      </c>
    </row>
    <row r="272" spans="1:11" x14ac:dyDescent="0.3">
      <c r="A272" t="s">
        <v>502</v>
      </c>
      <c r="B272" t="s">
        <v>309</v>
      </c>
      <c r="C272" t="s">
        <v>215</v>
      </c>
      <c r="D272" t="s">
        <v>40</v>
      </c>
      <c r="E272" t="s">
        <v>34</v>
      </c>
      <c r="F272" t="s">
        <v>62</v>
      </c>
      <c r="G272">
        <v>1</v>
      </c>
      <c r="H272">
        <v>900</v>
      </c>
      <c r="I272">
        <v>5</v>
      </c>
      <c r="J272" t="s">
        <v>55</v>
      </c>
      <c r="K272" t="s">
        <v>18</v>
      </c>
    </row>
    <row r="273" spans="1:11" x14ac:dyDescent="0.3">
      <c r="A273" t="s">
        <v>503</v>
      </c>
      <c r="B273" t="s">
        <v>175</v>
      </c>
      <c r="C273" t="s">
        <v>84</v>
      </c>
      <c r="D273" t="s">
        <v>40</v>
      </c>
      <c r="E273" t="s">
        <v>49</v>
      </c>
      <c r="F273" t="s">
        <v>50</v>
      </c>
      <c r="G273">
        <v>2</v>
      </c>
      <c r="H273">
        <v>2200</v>
      </c>
      <c r="I273">
        <v>5</v>
      </c>
      <c r="J273" t="s">
        <v>17</v>
      </c>
      <c r="K273" t="s">
        <v>18</v>
      </c>
    </row>
    <row r="274" spans="1:11" x14ac:dyDescent="0.3">
      <c r="A274" t="s">
        <v>504</v>
      </c>
      <c r="B274" t="s">
        <v>148</v>
      </c>
      <c r="C274" t="s">
        <v>21</v>
      </c>
      <c r="D274" t="s">
        <v>72</v>
      </c>
      <c r="E274" t="s">
        <v>49</v>
      </c>
      <c r="F274" t="s">
        <v>351</v>
      </c>
      <c r="G274">
        <v>2</v>
      </c>
      <c r="H274">
        <v>2800</v>
      </c>
      <c r="I274">
        <v>20</v>
      </c>
      <c r="J274" t="s">
        <v>51</v>
      </c>
      <c r="K274" t="s">
        <v>30</v>
      </c>
    </row>
    <row r="275" spans="1:11" x14ac:dyDescent="0.3">
      <c r="A275" t="s">
        <v>505</v>
      </c>
      <c r="B275" t="s">
        <v>357</v>
      </c>
      <c r="C275" t="s">
        <v>249</v>
      </c>
      <c r="D275" t="s">
        <v>26</v>
      </c>
      <c r="E275" t="s">
        <v>65</v>
      </c>
      <c r="F275" t="s">
        <v>66</v>
      </c>
      <c r="G275">
        <v>3</v>
      </c>
      <c r="H275">
        <v>850</v>
      </c>
      <c r="I275">
        <v>10</v>
      </c>
      <c r="J275" t="s">
        <v>51</v>
      </c>
      <c r="K275" t="s">
        <v>18</v>
      </c>
    </row>
    <row r="276" spans="1:11" x14ac:dyDescent="0.3">
      <c r="A276" t="s">
        <v>506</v>
      </c>
      <c r="B276" t="s">
        <v>392</v>
      </c>
      <c r="C276" t="s">
        <v>33</v>
      </c>
      <c r="D276" t="s">
        <v>26</v>
      </c>
      <c r="E276" t="s">
        <v>65</v>
      </c>
      <c r="F276" t="s">
        <v>85</v>
      </c>
      <c r="G276">
        <v>2</v>
      </c>
      <c r="H276">
        <v>650</v>
      </c>
      <c r="I276">
        <v>10</v>
      </c>
      <c r="J276" t="s">
        <v>51</v>
      </c>
      <c r="K276" t="s">
        <v>18</v>
      </c>
    </row>
    <row r="277" spans="1:11" x14ac:dyDescent="0.3">
      <c r="A277" t="s">
        <v>507</v>
      </c>
      <c r="B277" t="s">
        <v>24</v>
      </c>
      <c r="C277" t="s">
        <v>88</v>
      </c>
      <c r="D277" t="s">
        <v>151</v>
      </c>
      <c r="E277" t="s">
        <v>15</v>
      </c>
      <c r="F277" t="s">
        <v>45</v>
      </c>
      <c r="G277">
        <v>1</v>
      </c>
      <c r="H277">
        <v>4500</v>
      </c>
      <c r="I277">
        <v>10</v>
      </c>
      <c r="J277" t="s">
        <v>29</v>
      </c>
      <c r="K277" t="s">
        <v>30</v>
      </c>
    </row>
    <row r="278" spans="1:11" x14ac:dyDescent="0.3">
      <c r="A278" t="s">
        <v>508</v>
      </c>
      <c r="B278" t="s">
        <v>460</v>
      </c>
      <c r="C278" t="s">
        <v>13</v>
      </c>
      <c r="D278" t="s">
        <v>72</v>
      </c>
      <c r="E278" t="s">
        <v>49</v>
      </c>
      <c r="F278" t="s">
        <v>157</v>
      </c>
      <c r="G278">
        <v>5</v>
      </c>
      <c r="H278">
        <v>1800</v>
      </c>
      <c r="I278">
        <v>5</v>
      </c>
      <c r="J278" t="s">
        <v>29</v>
      </c>
      <c r="K278" t="s">
        <v>30</v>
      </c>
    </row>
    <row r="279" spans="1:11" x14ac:dyDescent="0.3">
      <c r="A279" t="s">
        <v>509</v>
      </c>
      <c r="B279" t="s">
        <v>430</v>
      </c>
      <c r="C279" t="s">
        <v>88</v>
      </c>
      <c r="D279" t="s">
        <v>72</v>
      </c>
      <c r="E279" t="s">
        <v>34</v>
      </c>
      <c r="F279" t="s">
        <v>62</v>
      </c>
      <c r="G279">
        <v>4</v>
      </c>
      <c r="H279">
        <v>900</v>
      </c>
      <c r="I279">
        <v>5</v>
      </c>
      <c r="J279" t="s">
        <v>51</v>
      </c>
      <c r="K279" t="s">
        <v>22</v>
      </c>
    </row>
    <row r="280" spans="1:11" x14ac:dyDescent="0.3">
      <c r="A280" t="s">
        <v>510</v>
      </c>
      <c r="B280" t="s">
        <v>235</v>
      </c>
      <c r="C280" t="s">
        <v>71</v>
      </c>
      <c r="D280" t="s">
        <v>40</v>
      </c>
      <c r="E280" t="s">
        <v>49</v>
      </c>
      <c r="F280" t="s">
        <v>351</v>
      </c>
      <c r="G280">
        <v>5</v>
      </c>
      <c r="H280">
        <v>2800</v>
      </c>
      <c r="I280">
        <v>0</v>
      </c>
      <c r="J280" t="s">
        <v>17</v>
      </c>
      <c r="K280" t="s">
        <v>36</v>
      </c>
    </row>
    <row r="281" spans="1:11" x14ac:dyDescent="0.3">
      <c r="A281" t="s">
        <v>511</v>
      </c>
      <c r="B281" t="s">
        <v>113</v>
      </c>
      <c r="C281" t="s">
        <v>44</v>
      </c>
      <c r="D281" t="s">
        <v>14</v>
      </c>
      <c r="E281" t="s">
        <v>15</v>
      </c>
      <c r="F281" t="s">
        <v>146</v>
      </c>
      <c r="G281">
        <v>1</v>
      </c>
      <c r="H281">
        <v>2500</v>
      </c>
      <c r="I281">
        <v>5</v>
      </c>
      <c r="J281" t="s">
        <v>17</v>
      </c>
      <c r="K281" t="s">
        <v>22</v>
      </c>
    </row>
    <row r="282" spans="1:11" x14ac:dyDescent="0.3">
      <c r="A282" t="s">
        <v>512</v>
      </c>
      <c r="B282" t="s">
        <v>385</v>
      </c>
      <c r="C282" t="s">
        <v>117</v>
      </c>
      <c r="D282" t="s">
        <v>72</v>
      </c>
      <c r="E282" t="s">
        <v>27</v>
      </c>
      <c r="F282" t="s">
        <v>28</v>
      </c>
      <c r="G282">
        <v>4</v>
      </c>
      <c r="H282">
        <v>500</v>
      </c>
      <c r="I282">
        <v>0</v>
      </c>
      <c r="J282" t="s">
        <v>17</v>
      </c>
      <c r="K282" t="s">
        <v>18</v>
      </c>
    </row>
    <row r="283" spans="1:11" x14ac:dyDescent="0.3">
      <c r="A283" t="s">
        <v>513</v>
      </c>
      <c r="B283" t="s">
        <v>75</v>
      </c>
      <c r="C283" t="s">
        <v>88</v>
      </c>
      <c r="D283" t="s">
        <v>26</v>
      </c>
      <c r="E283" t="s">
        <v>15</v>
      </c>
      <c r="F283" t="s">
        <v>16</v>
      </c>
      <c r="G283">
        <v>5</v>
      </c>
      <c r="H283">
        <v>1500</v>
      </c>
      <c r="I283">
        <v>10</v>
      </c>
      <c r="J283" t="s">
        <v>17</v>
      </c>
      <c r="K283" t="s">
        <v>18</v>
      </c>
    </row>
    <row r="284" spans="1:11" x14ac:dyDescent="0.3">
      <c r="A284" t="s">
        <v>514</v>
      </c>
      <c r="B284" t="s">
        <v>435</v>
      </c>
      <c r="C284" t="s">
        <v>166</v>
      </c>
      <c r="D284" t="s">
        <v>14</v>
      </c>
      <c r="E284" t="s">
        <v>49</v>
      </c>
      <c r="F284" t="s">
        <v>182</v>
      </c>
      <c r="G284">
        <v>2</v>
      </c>
      <c r="H284">
        <v>800</v>
      </c>
      <c r="I284">
        <v>5</v>
      </c>
      <c r="J284" t="s">
        <v>51</v>
      </c>
      <c r="K284" t="s">
        <v>30</v>
      </c>
    </row>
    <row r="285" spans="1:11" x14ac:dyDescent="0.3">
      <c r="A285" t="s">
        <v>515</v>
      </c>
      <c r="B285" t="s">
        <v>47</v>
      </c>
      <c r="C285" t="s">
        <v>54</v>
      </c>
      <c r="D285" t="s">
        <v>72</v>
      </c>
      <c r="E285" t="s">
        <v>34</v>
      </c>
      <c r="F285" t="s">
        <v>62</v>
      </c>
      <c r="G285">
        <v>4</v>
      </c>
      <c r="H285">
        <v>900</v>
      </c>
      <c r="I285">
        <v>20</v>
      </c>
      <c r="J285" t="s">
        <v>55</v>
      </c>
      <c r="K285" t="s">
        <v>22</v>
      </c>
    </row>
    <row r="286" spans="1:11" x14ac:dyDescent="0.3">
      <c r="A286" t="s">
        <v>516</v>
      </c>
      <c r="B286" t="s">
        <v>178</v>
      </c>
      <c r="C286" t="s">
        <v>48</v>
      </c>
      <c r="D286" t="s">
        <v>40</v>
      </c>
      <c r="E286" t="s">
        <v>34</v>
      </c>
      <c r="F286" t="s">
        <v>100</v>
      </c>
      <c r="G286">
        <v>1</v>
      </c>
      <c r="H286">
        <v>1200</v>
      </c>
      <c r="I286">
        <v>15</v>
      </c>
      <c r="J286" t="s">
        <v>29</v>
      </c>
      <c r="K286" t="s">
        <v>18</v>
      </c>
    </row>
    <row r="287" spans="1:11" x14ac:dyDescent="0.3">
      <c r="A287" t="s">
        <v>517</v>
      </c>
      <c r="B287" t="s">
        <v>124</v>
      </c>
      <c r="C287" t="s">
        <v>249</v>
      </c>
      <c r="D287" t="s">
        <v>40</v>
      </c>
      <c r="E287" t="s">
        <v>27</v>
      </c>
      <c r="F287" t="s">
        <v>28</v>
      </c>
      <c r="G287">
        <v>2</v>
      </c>
      <c r="H287">
        <v>500</v>
      </c>
      <c r="I287">
        <v>0</v>
      </c>
      <c r="J287" t="s">
        <v>29</v>
      </c>
      <c r="K287" t="s">
        <v>18</v>
      </c>
    </row>
    <row r="288" spans="1:11" x14ac:dyDescent="0.3">
      <c r="A288" t="s">
        <v>518</v>
      </c>
      <c r="B288" t="s">
        <v>435</v>
      </c>
      <c r="C288" t="s">
        <v>95</v>
      </c>
      <c r="D288" t="s">
        <v>40</v>
      </c>
      <c r="E288" t="s">
        <v>34</v>
      </c>
      <c r="F288" t="s">
        <v>81</v>
      </c>
      <c r="G288">
        <v>2</v>
      </c>
      <c r="H288">
        <v>700</v>
      </c>
      <c r="I288">
        <v>5</v>
      </c>
      <c r="J288" t="s">
        <v>29</v>
      </c>
      <c r="K288" t="s">
        <v>30</v>
      </c>
    </row>
    <row r="289" spans="1:11" x14ac:dyDescent="0.3">
      <c r="A289" t="s">
        <v>519</v>
      </c>
      <c r="B289" t="s">
        <v>330</v>
      </c>
      <c r="C289" t="s">
        <v>84</v>
      </c>
      <c r="D289" t="s">
        <v>26</v>
      </c>
      <c r="E289" t="s">
        <v>15</v>
      </c>
      <c r="F289" t="s">
        <v>16</v>
      </c>
      <c r="G289">
        <v>5</v>
      </c>
      <c r="H289">
        <v>1500</v>
      </c>
      <c r="J289" t="s">
        <v>17</v>
      </c>
      <c r="K289" t="s">
        <v>22</v>
      </c>
    </row>
    <row r="290" spans="1:11" x14ac:dyDescent="0.3">
      <c r="A290" t="s">
        <v>520</v>
      </c>
      <c r="B290" t="s">
        <v>153</v>
      </c>
      <c r="C290" t="s">
        <v>125</v>
      </c>
      <c r="D290" t="s">
        <v>14</v>
      </c>
      <c r="E290" t="s">
        <v>34</v>
      </c>
      <c r="F290" t="s">
        <v>100</v>
      </c>
      <c r="G290">
        <v>4</v>
      </c>
      <c r="H290">
        <v>1200</v>
      </c>
      <c r="I290">
        <v>0</v>
      </c>
      <c r="J290" t="s">
        <v>51</v>
      </c>
      <c r="K290" t="s">
        <v>22</v>
      </c>
    </row>
    <row r="291" spans="1:11" x14ac:dyDescent="0.3">
      <c r="A291" t="s">
        <v>521</v>
      </c>
      <c r="B291" t="s">
        <v>130</v>
      </c>
      <c r="C291" t="s">
        <v>44</v>
      </c>
      <c r="D291" t="s">
        <v>72</v>
      </c>
      <c r="E291" t="s">
        <v>27</v>
      </c>
      <c r="F291" t="s">
        <v>138</v>
      </c>
      <c r="G291">
        <v>5</v>
      </c>
      <c r="H291">
        <v>650</v>
      </c>
      <c r="I291">
        <v>10</v>
      </c>
      <c r="J291" t="s">
        <v>29</v>
      </c>
      <c r="K291" t="s">
        <v>22</v>
      </c>
    </row>
    <row r="292" spans="1:11" x14ac:dyDescent="0.3">
      <c r="A292" t="s">
        <v>522</v>
      </c>
      <c r="B292" t="s">
        <v>238</v>
      </c>
      <c r="C292" t="s">
        <v>117</v>
      </c>
      <c r="D292" t="s">
        <v>40</v>
      </c>
      <c r="E292" t="s">
        <v>15</v>
      </c>
      <c r="F292" t="s">
        <v>45</v>
      </c>
      <c r="G292">
        <v>4</v>
      </c>
      <c r="H292">
        <v>4500</v>
      </c>
      <c r="I292">
        <v>5</v>
      </c>
      <c r="J292" t="s">
        <v>17</v>
      </c>
      <c r="K292" t="s">
        <v>30</v>
      </c>
    </row>
    <row r="293" spans="1:11" x14ac:dyDescent="0.3">
      <c r="A293" t="s">
        <v>523</v>
      </c>
      <c r="B293" t="s">
        <v>262</v>
      </c>
      <c r="C293" t="s">
        <v>176</v>
      </c>
      <c r="D293" t="s">
        <v>26</v>
      </c>
      <c r="E293" t="s">
        <v>27</v>
      </c>
      <c r="F293" t="s">
        <v>128</v>
      </c>
      <c r="G293">
        <v>1</v>
      </c>
      <c r="H293">
        <v>1800</v>
      </c>
      <c r="I293">
        <v>10</v>
      </c>
      <c r="J293" t="s">
        <v>29</v>
      </c>
      <c r="K293" t="s">
        <v>18</v>
      </c>
    </row>
    <row r="294" spans="1:11" x14ac:dyDescent="0.3">
      <c r="A294" t="s">
        <v>524</v>
      </c>
      <c r="B294" t="s">
        <v>150</v>
      </c>
      <c r="C294" t="s">
        <v>176</v>
      </c>
      <c r="D294" t="s">
        <v>72</v>
      </c>
      <c r="E294" t="s">
        <v>49</v>
      </c>
      <c r="F294" t="s">
        <v>50</v>
      </c>
      <c r="G294">
        <v>2</v>
      </c>
      <c r="H294">
        <v>2200</v>
      </c>
      <c r="I294">
        <v>20</v>
      </c>
      <c r="J294" t="s">
        <v>29</v>
      </c>
      <c r="K294" t="s">
        <v>36</v>
      </c>
    </row>
    <row r="295" spans="1:11" x14ac:dyDescent="0.3">
      <c r="A295" t="s">
        <v>525</v>
      </c>
      <c r="B295" t="s">
        <v>414</v>
      </c>
      <c r="C295" t="s">
        <v>133</v>
      </c>
      <c r="D295" t="s">
        <v>40</v>
      </c>
      <c r="E295" t="s">
        <v>27</v>
      </c>
      <c r="F295" t="s">
        <v>171</v>
      </c>
      <c r="G295">
        <v>1</v>
      </c>
      <c r="H295">
        <v>550</v>
      </c>
      <c r="I295">
        <v>10</v>
      </c>
      <c r="J295" t="s">
        <v>55</v>
      </c>
      <c r="K295" t="s">
        <v>18</v>
      </c>
    </row>
    <row r="296" spans="1:11" x14ac:dyDescent="0.3">
      <c r="A296" t="s">
        <v>526</v>
      </c>
      <c r="B296" t="s">
        <v>527</v>
      </c>
      <c r="C296" t="s">
        <v>54</v>
      </c>
      <c r="D296" t="s">
        <v>40</v>
      </c>
      <c r="E296" t="s">
        <v>49</v>
      </c>
      <c r="F296" t="s">
        <v>58</v>
      </c>
      <c r="G296">
        <v>1</v>
      </c>
      <c r="H296">
        <v>3200</v>
      </c>
      <c r="I296">
        <v>0</v>
      </c>
      <c r="J296" t="s">
        <v>51</v>
      </c>
      <c r="K296" t="s">
        <v>18</v>
      </c>
    </row>
    <row r="297" spans="1:11" x14ac:dyDescent="0.3">
      <c r="A297" t="s">
        <v>528</v>
      </c>
      <c r="B297" t="s">
        <v>244</v>
      </c>
      <c r="C297" t="s">
        <v>105</v>
      </c>
      <c r="D297" t="s">
        <v>40</v>
      </c>
      <c r="E297" t="s">
        <v>34</v>
      </c>
      <c r="F297" t="s">
        <v>41</v>
      </c>
      <c r="G297">
        <v>2</v>
      </c>
      <c r="H297">
        <v>1600</v>
      </c>
      <c r="I297">
        <v>15</v>
      </c>
      <c r="J297" t="s">
        <v>29</v>
      </c>
      <c r="K297" t="s">
        <v>18</v>
      </c>
    </row>
    <row r="298" spans="1:11" x14ac:dyDescent="0.3">
      <c r="A298" t="s">
        <v>529</v>
      </c>
      <c r="B298" t="s">
        <v>470</v>
      </c>
      <c r="C298" t="s">
        <v>54</v>
      </c>
      <c r="D298" t="s">
        <v>40</v>
      </c>
      <c r="E298" t="s">
        <v>15</v>
      </c>
      <c r="F298" t="s">
        <v>16</v>
      </c>
      <c r="G298">
        <v>5</v>
      </c>
      <c r="H298">
        <v>1500</v>
      </c>
      <c r="I298">
        <v>20</v>
      </c>
      <c r="J298" t="s">
        <v>51</v>
      </c>
      <c r="K298" t="s">
        <v>18</v>
      </c>
    </row>
    <row r="299" spans="1:11" x14ac:dyDescent="0.3">
      <c r="A299" t="s">
        <v>530</v>
      </c>
      <c r="B299" t="s">
        <v>334</v>
      </c>
      <c r="C299" t="s">
        <v>176</v>
      </c>
      <c r="D299" t="s">
        <v>40</v>
      </c>
      <c r="E299" t="s">
        <v>15</v>
      </c>
      <c r="F299" t="s">
        <v>78</v>
      </c>
      <c r="G299">
        <v>5</v>
      </c>
      <c r="H299">
        <v>900</v>
      </c>
      <c r="I299">
        <v>5</v>
      </c>
      <c r="J299" t="s">
        <v>55</v>
      </c>
      <c r="K299" t="s">
        <v>18</v>
      </c>
    </row>
    <row r="300" spans="1:11" x14ac:dyDescent="0.3">
      <c r="A300" t="s">
        <v>531</v>
      </c>
      <c r="B300" t="s">
        <v>60</v>
      </c>
      <c r="C300" t="s">
        <v>122</v>
      </c>
      <c r="D300" t="s">
        <v>26</v>
      </c>
      <c r="E300" t="s">
        <v>49</v>
      </c>
      <c r="F300" t="s">
        <v>157</v>
      </c>
      <c r="G300">
        <v>4</v>
      </c>
      <c r="H300">
        <v>1800</v>
      </c>
      <c r="I300">
        <v>5</v>
      </c>
      <c r="J300" t="s">
        <v>17</v>
      </c>
      <c r="K300" t="s">
        <v>22</v>
      </c>
    </row>
    <row r="301" spans="1:11" x14ac:dyDescent="0.3">
      <c r="A301" t="s">
        <v>532</v>
      </c>
      <c r="B301" t="s">
        <v>202</v>
      </c>
      <c r="C301" t="s">
        <v>122</v>
      </c>
      <c r="D301" t="s">
        <v>72</v>
      </c>
      <c r="E301" t="s">
        <v>65</v>
      </c>
      <c r="F301" t="s">
        <v>96</v>
      </c>
      <c r="G301">
        <v>1</v>
      </c>
      <c r="H301">
        <v>900</v>
      </c>
      <c r="I301">
        <v>10</v>
      </c>
      <c r="J301" t="s">
        <v>51</v>
      </c>
      <c r="K301" t="s">
        <v>22</v>
      </c>
    </row>
    <row r="302" spans="1:11" x14ac:dyDescent="0.3">
      <c r="A302" t="s">
        <v>533</v>
      </c>
      <c r="B302" t="s">
        <v>227</v>
      </c>
      <c r="C302" t="s">
        <v>21</v>
      </c>
      <c r="D302" t="s">
        <v>72</v>
      </c>
      <c r="E302" t="s">
        <v>65</v>
      </c>
      <c r="F302" t="s">
        <v>92</v>
      </c>
      <c r="G302">
        <v>1</v>
      </c>
      <c r="H302">
        <v>700</v>
      </c>
      <c r="I302">
        <v>5</v>
      </c>
      <c r="J302" t="s">
        <v>51</v>
      </c>
      <c r="K302" t="s">
        <v>36</v>
      </c>
    </row>
    <row r="303" spans="1:11" x14ac:dyDescent="0.3">
      <c r="A303" t="s">
        <v>534</v>
      </c>
      <c r="B303" t="s">
        <v>535</v>
      </c>
      <c r="C303" t="s">
        <v>176</v>
      </c>
      <c r="D303" t="s">
        <v>26</v>
      </c>
      <c r="E303" t="s">
        <v>65</v>
      </c>
      <c r="F303" t="s">
        <v>96</v>
      </c>
      <c r="G303">
        <v>4</v>
      </c>
      <c r="H303">
        <v>900</v>
      </c>
      <c r="I303">
        <v>10</v>
      </c>
      <c r="J303" t="s">
        <v>29</v>
      </c>
      <c r="K303" t="s">
        <v>22</v>
      </c>
    </row>
    <row r="304" spans="1:11" x14ac:dyDescent="0.3">
      <c r="A304" t="s">
        <v>536</v>
      </c>
      <c r="B304" t="s">
        <v>38</v>
      </c>
      <c r="C304" t="s">
        <v>133</v>
      </c>
      <c r="D304" t="s">
        <v>14</v>
      </c>
      <c r="E304" t="s">
        <v>34</v>
      </c>
      <c r="F304" t="s">
        <v>41</v>
      </c>
      <c r="G304">
        <v>4</v>
      </c>
      <c r="H304">
        <v>1600</v>
      </c>
      <c r="I304">
        <v>10</v>
      </c>
      <c r="J304" t="s">
        <v>55</v>
      </c>
      <c r="K304" t="s">
        <v>18</v>
      </c>
    </row>
    <row r="305" spans="1:11" x14ac:dyDescent="0.3">
      <c r="A305" t="s">
        <v>537</v>
      </c>
      <c r="B305" t="s">
        <v>538</v>
      </c>
      <c r="C305" t="s">
        <v>249</v>
      </c>
      <c r="D305" t="s">
        <v>72</v>
      </c>
      <c r="E305" t="s">
        <v>34</v>
      </c>
      <c r="F305" t="s">
        <v>41</v>
      </c>
      <c r="G305">
        <v>5</v>
      </c>
      <c r="H305">
        <v>1600</v>
      </c>
      <c r="I305">
        <v>5</v>
      </c>
      <c r="J305" t="s">
        <v>51</v>
      </c>
      <c r="K305" t="s">
        <v>18</v>
      </c>
    </row>
    <row r="306" spans="1:11" x14ac:dyDescent="0.3">
      <c r="A306" t="s">
        <v>539</v>
      </c>
      <c r="B306" t="s">
        <v>380</v>
      </c>
      <c r="C306" t="s">
        <v>142</v>
      </c>
      <c r="D306" t="s">
        <v>14</v>
      </c>
      <c r="E306" t="s">
        <v>34</v>
      </c>
      <c r="F306" t="s">
        <v>62</v>
      </c>
      <c r="G306">
        <v>5</v>
      </c>
      <c r="H306">
        <v>900</v>
      </c>
      <c r="I306">
        <v>20</v>
      </c>
      <c r="J306" t="s">
        <v>55</v>
      </c>
      <c r="K306" t="s">
        <v>36</v>
      </c>
    </row>
    <row r="307" spans="1:11" x14ac:dyDescent="0.3">
      <c r="A307" t="s">
        <v>540</v>
      </c>
      <c r="B307" t="s">
        <v>94</v>
      </c>
      <c r="C307" t="s">
        <v>159</v>
      </c>
      <c r="D307" t="s">
        <v>26</v>
      </c>
      <c r="E307" t="s">
        <v>65</v>
      </c>
      <c r="F307" t="s">
        <v>106</v>
      </c>
      <c r="G307">
        <v>1</v>
      </c>
      <c r="H307">
        <v>750</v>
      </c>
      <c r="I307">
        <v>15</v>
      </c>
      <c r="J307" t="s">
        <v>29</v>
      </c>
      <c r="K307" t="s">
        <v>22</v>
      </c>
    </row>
    <row r="308" spans="1:11" x14ac:dyDescent="0.3">
      <c r="A308" t="s">
        <v>541</v>
      </c>
      <c r="B308" t="s">
        <v>266</v>
      </c>
      <c r="C308" t="s">
        <v>154</v>
      </c>
      <c r="D308" t="s">
        <v>14</v>
      </c>
      <c r="E308" t="s">
        <v>34</v>
      </c>
      <c r="F308" t="s">
        <v>35</v>
      </c>
      <c r="G308">
        <v>4</v>
      </c>
      <c r="H308">
        <v>3500</v>
      </c>
      <c r="I308">
        <v>15</v>
      </c>
      <c r="J308" t="s">
        <v>17</v>
      </c>
      <c r="K308" t="s">
        <v>18</v>
      </c>
    </row>
    <row r="309" spans="1:11" x14ac:dyDescent="0.3">
      <c r="A309" t="s">
        <v>542</v>
      </c>
      <c r="B309" t="s">
        <v>543</v>
      </c>
      <c r="C309" t="s">
        <v>176</v>
      </c>
      <c r="D309" t="s">
        <v>72</v>
      </c>
      <c r="E309" t="s">
        <v>27</v>
      </c>
      <c r="F309" t="s">
        <v>28</v>
      </c>
      <c r="G309">
        <v>5</v>
      </c>
      <c r="H309">
        <v>500</v>
      </c>
      <c r="I309">
        <v>0</v>
      </c>
      <c r="J309" t="s">
        <v>51</v>
      </c>
      <c r="K309" t="s">
        <v>36</v>
      </c>
    </row>
    <row r="310" spans="1:11" x14ac:dyDescent="0.3">
      <c r="A310" t="s">
        <v>544</v>
      </c>
      <c r="B310" t="s">
        <v>108</v>
      </c>
      <c r="C310" t="s">
        <v>154</v>
      </c>
      <c r="D310" t="s">
        <v>26</v>
      </c>
      <c r="E310" t="s">
        <v>15</v>
      </c>
      <c r="F310" t="s">
        <v>73</v>
      </c>
      <c r="G310">
        <v>2</v>
      </c>
      <c r="H310">
        <v>2200</v>
      </c>
      <c r="I310">
        <v>20</v>
      </c>
      <c r="J310" t="s">
        <v>17</v>
      </c>
      <c r="K310" t="s">
        <v>18</v>
      </c>
    </row>
    <row r="311" spans="1:11" x14ac:dyDescent="0.3">
      <c r="A311" t="s">
        <v>545</v>
      </c>
      <c r="B311" t="s">
        <v>225</v>
      </c>
      <c r="C311" t="s">
        <v>220</v>
      </c>
      <c r="D311" t="s">
        <v>40</v>
      </c>
      <c r="E311" t="s">
        <v>34</v>
      </c>
      <c r="F311" t="s">
        <v>62</v>
      </c>
      <c r="G311">
        <v>3</v>
      </c>
      <c r="H311">
        <v>900</v>
      </c>
      <c r="I311">
        <v>5</v>
      </c>
      <c r="J311" t="s">
        <v>55</v>
      </c>
      <c r="K311" t="s">
        <v>18</v>
      </c>
    </row>
    <row r="312" spans="1:11" x14ac:dyDescent="0.3">
      <c r="A312" t="s">
        <v>546</v>
      </c>
      <c r="B312" t="s">
        <v>209</v>
      </c>
      <c r="C312" t="s">
        <v>33</v>
      </c>
      <c r="D312" t="s">
        <v>14</v>
      </c>
      <c r="E312" t="s">
        <v>34</v>
      </c>
      <c r="F312" t="s">
        <v>62</v>
      </c>
      <c r="G312">
        <v>3</v>
      </c>
      <c r="H312">
        <v>900</v>
      </c>
      <c r="I312">
        <v>0</v>
      </c>
      <c r="J312" t="s">
        <v>29</v>
      </c>
      <c r="K312" t="s">
        <v>36</v>
      </c>
    </row>
    <row r="313" spans="1:11" x14ac:dyDescent="0.3">
      <c r="A313" t="s">
        <v>547</v>
      </c>
      <c r="B313" t="s">
        <v>87</v>
      </c>
      <c r="C313" t="s">
        <v>142</v>
      </c>
      <c r="D313" t="s">
        <v>14</v>
      </c>
      <c r="E313" t="s">
        <v>34</v>
      </c>
      <c r="F313" t="s">
        <v>62</v>
      </c>
      <c r="G313">
        <v>3</v>
      </c>
      <c r="H313">
        <v>900</v>
      </c>
      <c r="I313">
        <v>10</v>
      </c>
      <c r="J313" t="s">
        <v>51</v>
      </c>
      <c r="K313" t="s">
        <v>18</v>
      </c>
    </row>
    <row r="314" spans="1:11" x14ac:dyDescent="0.3">
      <c r="A314" t="s">
        <v>548</v>
      </c>
      <c r="B314" t="s">
        <v>549</v>
      </c>
      <c r="C314" t="s">
        <v>54</v>
      </c>
      <c r="D314" t="s">
        <v>72</v>
      </c>
      <c r="E314" t="s">
        <v>49</v>
      </c>
      <c r="F314" t="s">
        <v>351</v>
      </c>
      <c r="G314">
        <v>1</v>
      </c>
      <c r="H314">
        <v>2800</v>
      </c>
      <c r="I314">
        <v>15</v>
      </c>
      <c r="J314" t="s">
        <v>29</v>
      </c>
      <c r="K314" t="s">
        <v>30</v>
      </c>
    </row>
    <row r="315" spans="1:11" x14ac:dyDescent="0.3">
      <c r="A315" t="s">
        <v>550</v>
      </c>
      <c r="B315" t="s">
        <v>551</v>
      </c>
      <c r="C315" t="s">
        <v>159</v>
      </c>
      <c r="D315" t="s">
        <v>40</v>
      </c>
      <c r="E315" t="s">
        <v>15</v>
      </c>
      <c r="F315" t="s">
        <v>78</v>
      </c>
      <c r="G315">
        <v>1</v>
      </c>
      <c r="H315">
        <v>900</v>
      </c>
      <c r="I315">
        <v>10</v>
      </c>
      <c r="J315" t="s">
        <v>17</v>
      </c>
      <c r="K315" t="s">
        <v>22</v>
      </c>
    </row>
    <row r="316" spans="1:11" x14ac:dyDescent="0.3">
      <c r="A316" t="s">
        <v>552</v>
      </c>
      <c r="B316" t="s">
        <v>268</v>
      </c>
      <c r="C316" t="s">
        <v>99</v>
      </c>
      <c r="D316" t="s">
        <v>14</v>
      </c>
      <c r="E316" t="s">
        <v>49</v>
      </c>
      <c r="F316" t="s">
        <v>351</v>
      </c>
      <c r="G316">
        <v>3</v>
      </c>
      <c r="H316">
        <v>2800</v>
      </c>
      <c r="I316">
        <v>20</v>
      </c>
      <c r="J316" t="s">
        <v>29</v>
      </c>
      <c r="K316" t="s">
        <v>18</v>
      </c>
    </row>
    <row r="317" spans="1:11" x14ac:dyDescent="0.3">
      <c r="A317" t="s">
        <v>553</v>
      </c>
      <c r="B317" t="s">
        <v>554</v>
      </c>
      <c r="C317" t="s">
        <v>71</v>
      </c>
      <c r="D317" t="s">
        <v>14</v>
      </c>
      <c r="E317" t="s">
        <v>49</v>
      </c>
      <c r="F317" t="s">
        <v>58</v>
      </c>
      <c r="G317">
        <v>4</v>
      </c>
      <c r="H317">
        <v>3200</v>
      </c>
      <c r="I317">
        <v>15</v>
      </c>
      <c r="J317" t="s">
        <v>17</v>
      </c>
      <c r="K317" t="s">
        <v>22</v>
      </c>
    </row>
    <row r="318" spans="1:11" x14ac:dyDescent="0.3">
      <c r="A318" t="s">
        <v>555</v>
      </c>
      <c r="B318" t="s">
        <v>193</v>
      </c>
      <c r="C318" t="s">
        <v>176</v>
      </c>
      <c r="D318" t="s">
        <v>40</v>
      </c>
      <c r="E318" t="s">
        <v>65</v>
      </c>
      <c r="F318" t="s">
        <v>92</v>
      </c>
      <c r="G318">
        <v>2</v>
      </c>
      <c r="H318">
        <v>700</v>
      </c>
      <c r="I318">
        <v>5</v>
      </c>
      <c r="J318" t="s">
        <v>51</v>
      </c>
      <c r="K318" t="s">
        <v>36</v>
      </c>
    </row>
    <row r="319" spans="1:11" x14ac:dyDescent="0.3">
      <c r="A319" t="s">
        <v>556</v>
      </c>
      <c r="B319" t="s">
        <v>284</v>
      </c>
      <c r="C319" t="s">
        <v>71</v>
      </c>
      <c r="D319" t="s">
        <v>26</v>
      </c>
      <c r="E319" t="s">
        <v>27</v>
      </c>
      <c r="F319" t="s">
        <v>89</v>
      </c>
      <c r="G319">
        <v>3</v>
      </c>
      <c r="H319">
        <v>450</v>
      </c>
      <c r="I319">
        <v>5</v>
      </c>
      <c r="J319" t="s">
        <v>29</v>
      </c>
      <c r="K319" t="s">
        <v>36</v>
      </c>
    </row>
    <row r="320" spans="1:11" x14ac:dyDescent="0.3">
      <c r="A320" t="s">
        <v>557</v>
      </c>
      <c r="B320" t="s">
        <v>75</v>
      </c>
      <c r="C320" t="s">
        <v>249</v>
      </c>
      <c r="D320" t="s">
        <v>26</v>
      </c>
      <c r="E320" t="s">
        <v>34</v>
      </c>
      <c r="F320" t="s">
        <v>62</v>
      </c>
      <c r="G320">
        <v>5</v>
      </c>
      <c r="H320">
        <v>900</v>
      </c>
      <c r="I320">
        <v>15</v>
      </c>
      <c r="J320" t="s">
        <v>29</v>
      </c>
      <c r="K320" t="s">
        <v>36</v>
      </c>
    </row>
    <row r="321" spans="1:11" x14ac:dyDescent="0.3">
      <c r="A321" t="s">
        <v>558</v>
      </c>
      <c r="B321" t="s">
        <v>402</v>
      </c>
      <c r="C321" t="s">
        <v>215</v>
      </c>
      <c r="D321" t="s">
        <v>14</v>
      </c>
      <c r="E321" t="s">
        <v>34</v>
      </c>
      <c r="F321" t="s">
        <v>41</v>
      </c>
      <c r="G321">
        <v>3</v>
      </c>
      <c r="H321">
        <v>1600</v>
      </c>
      <c r="I321">
        <v>20</v>
      </c>
      <c r="J321" t="s">
        <v>114</v>
      </c>
      <c r="K321" t="s">
        <v>22</v>
      </c>
    </row>
    <row r="322" spans="1:11" x14ac:dyDescent="0.3">
      <c r="A322" t="s">
        <v>559</v>
      </c>
      <c r="B322" t="s">
        <v>382</v>
      </c>
      <c r="C322" t="s">
        <v>122</v>
      </c>
      <c r="D322" t="s">
        <v>40</v>
      </c>
      <c r="E322" t="s">
        <v>34</v>
      </c>
      <c r="F322" t="s">
        <v>100</v>
      </c>
      <c r="G322">
        <v>2</v>
      </c>
      <c r="H322">
        <v>1200</v>
      </c>
      <c r="I322">
        <v>10</v>
      </c>
      <c r="J322" t="s">
        <v>55</v>
      </c>
      <c r="K322" t="s">
        <v>18</v>
      </c>
    </row>
    <row r="323" spans="1:11" x14ac:dyDescent="0.3">
      <c r="A323" t="s">
        <v>560</v>
      </c>
      <c r="B323" t="s">
        <v>113</v>
      </c>
      <c r="C323" t="s">
        <v>125</v>
      </c>
      <c r="D323" t="s">
        <v>72</v>
      </c>
      <c r="E323" t="s">
        <v>65</v>
      </c>
      <c r="F323" t="s">
        <v>92</v>
      </c>
      <c r="G323">
        <v>4</v>
      </c>
      <c r="H323">
        <v>700</v>
      </c>
      <c r="I323">
        <v>5</v>
      </c>
      <c r="J323" t="s">
        <v>29</v>
      </c>
      <c r="K323" t="s">
        <v>22</v>
      </c>
    </row>
    <row r="324" spans="1:11" x14ac:dyDescent="0.3">
      <c r="A324" t="s">
        <v>561</v>
      </c>
      <c r="B324" t="s">
        <v>235</v>
      </c>
      <c r="C324" t="s">
        <v>122</v>
      </c>
      <c r="D324" t="s">
        <v>14</v>
      </c>
      <c r="E324" t="s">
        <v>27</v>
      </c>
      <c r="F324" t="s">
        <v>138</v>
      </c>
      <c r="G324">
        <v>2</v>
      </c>
      <c r="H324">
        <v>650</v>
      </c>
      <c r="I324">
        <v>10</v>
      </c>
      <c r="J324" t="s">
        <v>29</v>
      </c>
      <c r="K324" t="s">
        <v>36</v>
      </c>
    </row>
    <row r="325" spans="1:11" x14ac:dyDescent="0.3">
      <c r="A325" t="s">
        <v>562</v>
      </c>
      <c r="B325" t="s">
        <v>563</v>
      </c>
      <c r="C325" t="s">
        <v>105</v>
      </c>
      <c r="D325" t="s">
        <v>14</v>
      </c>
      <c r="E325" t="s">
        <v>34</v>
      </c>
      <c r="F325" t="s">
        <v>100</v>
      </c>
      <c r="G325">
        <v>4</v>
      </c>
      <c r="H325">
        <v>1200</v>
      </c>
      <c r="I325">
        <v>20</v>
      </c>
      <c r="J325" t="s">
        <v>29</v>
      </c>
      <c r="K325" t="s">
        <v>18</v>
      </c>
    </row>
    <row r="326" spans="1:11" x14ac:dyDescent="0.3">
      <c r="A326" t="s">
        <v>564</v>
      </c>
      <c r="B326" t="s">
        <v>480</v>
      </c>
      <c r="C326" t="s">
        <v>196</v>
      </c>
      <c r="D326" t="s">
        <v>14</v>
      </c>
      <c r="E326" t="s">
        <v>65</v>
      </c>
      <c r="F326" t="s">
        <v>66</v>
      </c>
      <c r="G326">
        <v>1</v>
      </c>
      <c r="H326">
        <v>850</v>
      </c>
      <c r="I326">
        <v>20</v>
      </c>
      <c r="J326" t="s">
        <v>17</v>
      </c>
      <c r="K326" t="s">
        <v>22</v>
      </c>
    </row>
    <row r="327" spans="1:11" x14ac:dyDescent="0.3">
      <c r="A327" t="s">
        <v>565</v>
      </c>
      <c r="B327" t="s">
        <v>12</v>
      </c>
      <c r="C327" t="s">
        <v>13</v>
      </c>
      <c r="D327" t="s">
        <v>26</v>
      </c>
      <c r="E327" t="s">
        <v>34</v>
      </c>
      <c r="F327" t="s">
        <v>100</v>
      </c>
      <c r="G327">
        <v>2</v>
      </c>
      <c r="H327">
        <v>1200</v>
      </c>
      <c r="I327">
        <v>15</v>
      </c>
      <c r="J327" t="s">
        <v>29</v>
      </c>
      <c r="K327" t="s">
        <v>36</v>
      </c>
    </row>
    <row r="328" spans="1:11" x14ac:dyDescent="0.3">
      <c r="A328" t="s">
        <v>566</v>
      </c>
      <c r="B328" t="s">
        <v>60</v>
      </c>
      <c r="C328" t="s">
        <v>33</v>
      </c>
      <c r="D328" t="s">
        <v>26</v>
      </c>
      <c r="E328" t="s">
        <v>27</v>
      </c>
      <c r="F328" t="s">
        <v>89</v>
      </c>
      <c r="G328">
        <v>5</v>
      </c>
      <c r="H328">
        <v>450</v>
      </c>
      <c r="I328">
        <v>0</v>
      </c>
      <c r="J328" t="s">
        <v>29</v>
      </c>
      <c r="K328" t="s">
        <v>22</v>
      </c>
    </row>
    <row r="329" spans="1:11" x14ac:dyDescent="0.3">
      <c r="A329" t="s">
        <v>567</v>
      </c>
      <c r="B329" t="s">
        <v>178</v>
      </c>
      <c r="C329" t="s">
        <v>33</v>
      </c>
      <c r="D329" t="s">
        <v>14</v>
      </c>
      <c r="E329" t="s">
        <v>65</v>
      </c>
      <c r="F329" t="s">
        <v>85</v>
      </c>
      <c r="G329">
        <v>3</v>
      </c>
      <c r="H329">
        <v>650</v>
      </c>
      <c r="I329">
        <v>0</v>
      </c>
      <c r="J329" t="s">
        <v>29</v>
      </c>
      <c r="K329" t="s">
        <v>30</v>
      </c>
    </row>
    <row r="330" spans="1:11" x14ac:dyDescent="0.3">
      <c r="A330" t="s">
        <v>568</v>
      </c>
      <c r="B330" t="s">
        <v>94</v>
      </c>
      <c r="C330" t="s">
        <v>48</v>
      </c>
      <c r="D330" t="s">
        <v>40</v>
      </c>
      <c r="E330" t="s">
        <v>34</v>
      </c>
      <c r="F330" t="s">
        <v>100</v>
      </c>
      <c r="G330">
        <v>2</v>
      </c>
      <c r="H330">
        <v>1200</v>
      </c>
      <c r="I330">
        <v>5</v>
      </c>
      <c r="J330" t="s">
        <v>51</v>
      </c>
      <c r="K330" t="s">
        <v>18</v>
      </c>
    </row>
    <row r="331" spans="1:11" x14ac:dyDescent="0.3">
      <c r="A331" t="s">
        <v>569</v>
      </c>
      <c r="B331" t="s">
        <v>113</v>
      </c>
      <c r="C331" t="s">
        <v>159</v>
      </c>
      <c r="D331" t="s">
        <v>14</v>
      </c>
      <c r="E331" t="s">
        <v>49</v>
      </c>
      <c r="F331" t="s">
        <v>351</v>
      </c>
      <c r="G331">
        <v>2</v>
      </c>
      <c r="H331">
        <v>2800</v>
      </c>
      <c r="I331">
        <v>0</v>
      </c>
      <c r="J331" t="s">
        <v>51</v>
      </c>
      <c r="K331" t="s">
        <v>30</v>
      </c>
    </row>
    <row r="332" spans="1:11" x14ac:dyDescent="0.3">
      <c r="A332" t="s">
        <v>570</v>
      </c>
      <c r="B332" t="s">
        <v>571</v>
      </c>
      <c r="C332" t="s">
        <v>179</v>
      </c>
      <c r="D332" t="s">
        <v>26</v>
      </c>
      <c r="E332" t="s">
        <v>27</v>
      </c>
      <c r="F332" t="s">
        <v>128</v>
      </c>
      <c r="G332">
        <v>3</v>
      </c>
      <c r="H332">
        <v>1800</v>
      </c>
      <c r="I332">
        <v>20</v>
      </c>
      <c r="J332" t="s">
        <v>51</v>
      </c>
      <c r="K332" t="s">
        <v>36</v>
      </c>
    </row>
    <row r="333" spans="1:11" x14ac:dyDescent="0.3">
      <c r="A333" t="s">
        <v>572</v>
      </c>
      <c r="B333" t="s">
        <v>478</v>
      </c>
      <c r="C333" t="s">
        <v>39</v>
      </c>
      <c r="D333" t="s">
        <v>14</v>
      </c>
      <c r="E333" t="s">
        <v>49</v>
      </c>
      <c r="F333" t="s">
        <v>58</v>
      </c>
      <c r="G333">
        <v>2</v>
      </c>
      <c r="H333">
        <v>3200</v>
      </c>
      <c r="I333">
        <v>5</v>
      </c>
      <c r="J333" t="s">
        <v>55</v>
      </c>
      <c r="K333" t="s">
        <v>30</v>
      </c>
    </row>
    <row r="334" spans="1:11" x14ac:dyDescent="0.3">
      <c r="A334" t="s">
        <v>573</v>
      </c>
      <c r="B334" t="s">
        <v>235</v>
      </c>
      <c r="C334" t="s">
        <v>105</v>
      </c>
      <c r="D334" t="s">
        <v>26</v>
      </c>
      <c r="E334" t="s">
        <v>49</v>
      </c>
      <c r="F334" t="s">
        <v>58</v>
      </c>
      <c r="G334">
        <v>4</v>
      </c>
      <c r="H334">
        <v>3200</v>
      </c>
      <c r="I334">
        <v>15</v>
      </c>
      <c r="J334" t="s">
        <v>29</v>
      </c>
      <c r="K334" t="s">
        <v>36</v>
      </c>
    </row>
    <row r="335" spans="1:11" x14ac:dyDescent="0.3">
      <c r="A335" t="s">
        <v>574</v>
      </c>
      <c r="B335" t="s">
        <v>404</v>
      </c>
      <c r="C335" t="s">
        <v>88</v>
      </c>
      <c r="D335" t="s">
        <v>26</v>
      </c>
      <c r="E335" t="s">
        <v>15</v>
      </c>
      <c r="F335" t="s">
        <v>146</v>
      </c>
      <c r="G335">
        <v>3</v>
      </c>
      <c r="H335">
        <v>2500</v>
      </c>
      <c r="I335">
        <v>15</v>
      </c>
      <c r="J335" t="s">
        <v>29</v>
      </c>
      <c r="K335" t="s">
        <v>30</v>
      </c>
    </row>
    <row r="336" spans="1:11" x14ac:dyDescent="0.3">
      <c r="A336" t="s">
        <v>575</v>
      </c>
      <c r="B336" t="s">
        <v>20</v>
      </c>
      <c r="C336" t="s">
        <v>88</v>
      </c>
      <c r="D336" t="s">
        <v>72</v>
      </c>
      <c r="E336" t="s">
        <v>27</v>
      </c>
      <c r="F336" t="s">
        <v>89</v>
      </c>
      <c r="G336">
        <v>3</v>
      </c>
      <c r="H336">
        <v>450</v>
      </c>
      <c r="I336">
        <v>0</v>
      </c>
      <c r="J336" t="s">
        <v>29</v>
      </c>
      <c r="K336" t="s">
        <v>22</v>
      </c>
    </row>
    <row r="337" spans="1:11" x14ac:dyDescent="0.3">
      <c r="A337" t="s">
        <v>576</v>
      </c>
      <c r="B337" t="s">
        <v>577</v>
      </c>
      <c r="C337" t="s">
        <v>39</v>
      </c>
      <c r="D337" t="s">
        <v>26</v>
      </c>
      <c r="E337" t="s">
        <v>65</v>
      </c>
      <c r="F337" t="s">
        <v>106</v>
      </c>
      <c r="G337">
        <v>3</v>
      </c>
      <c r="H337">
        <v>750</v>
      </c>
      <c r="I337">
        <v>10</v>
      </c>
      <c r="J337" t="s">
        <v>55</v>
      </c>
      <c r="K337" t="s">
        <v>18</v>
      </c>
    </row>
    <row r="338" spans="1:11" x14ac:dyDescent="0.3">
      <c r="A338" t="s">
        <v>578</v>
      </c>
      <c r="B338" t="s">
        <v>551</v>
      </c>
      <c r="C338" t="s">
        <v>142</v>
      </c>
      <c r="D338" t="s">
        <v>72</v>
      </c>
      <c r="E338" t="s">
        <v>34</v>
      </c>
      <c r="F338" t="s">
        <v>100</v>
      </c>
      <c r="G338">
        <v>1</v>
      </c>
      <c r="H338">
        <v>1200</v>
      </c>
      <c r="I338">
        <v>0</v>
      </c>
      <c r="J338" t="s">
        <v>55</v>
      </c>
      <c r="K338" t="s">
        <v>18</v>
      </c>
    </row>
    <row r="339" spans="1:11" x14ac:dyDescent="0.3">
      <c r="A339" t="s">
        <v>579</v>
      </c>
      <c r="B339" t="s">
        <v>193</v>
      </c>
      <c r="C339" t="s">
        <v>21</v>
      </c>
      <c r="D339" t="s">
        <v>14</v>
      </c>
      <c r="E339" t="s">
        <v>65</v>
      </c>
      <c r="F339" t="s">
        <v>85</v>
      </c>
      <c r="G339">
        <v>3</v>
      </c>
      <c r="H339">
        <v>650</v>
      </c>
      <c r="I339">
        <v>5</v>
      </c>
      <c r="J339" t="s">
        <v>51</v>
      </c>
      <c r="K339" t="s">
        <v>36</v>
      </c>
    </row>
    <row r="340" spans="1:11" x14ac:dyDescent="0.3">
      <c r="A340" t="s">
        <v>580</v>
      </c>
      <c r="B340" t="s">
        <v>87</v>
      </c>
      <c r="C340" t="s">
        <v>54</v>
      </c>
      <c r="D340" t="s">
        <v>14</v>
      </c>
      <c r="E340" t="s">
        <v>34</v>
      </c>
      <c r="F340" t="s">
        <v>41</v>
      </c>
      <c r="G340">
        <v>1</v>
      </c>
      <c r="H340">
        <v>1600</v>
      </c>
      <c r="I340">
        <v>15</v>
      </c>
      <c r="J340" t="s">
        <v>51</v>
      </c>
      <c r="K340" t="s">
        <v>22</v>
      </c>
    </row>
    <row r="341" spans="1:11" x14ac:dyDescent="0.3">
      <c r="A341" t="s">
        <v>581</v>
      </c>
      <c r="B341" t="s">
        <v>148</v>
      </c>
      <c r="C341" t="s">
        <v>142</v>
      </c>
      <c r="D341" t="s">
        <v>40</v>
      </c>
      <c r="E341" t="s">
        <v>65</v>
      </c>
      <c r="F341" t="s">
        <v>85</v>
      </c>
      <c r="G341">
        <v>2</v>
      </c>
      <c r="H341">
        <v>650</v>
      </c>
      <c r="I341">
        <v>15</v>
      </c>
      <c r="J341" t="s">
        <v>17</v>
      </c>
      <c r="K341" t="s">
        <v>22</v>
      </c>
    </row>
    <row r="342" spans="1:11" x14ac:dyDescent="0.3">
      <c r="A342" t="s">
        <v>582</v>
      </c>
      <c r="B342" t="s">
        <v>275</v>
      </c>
      <c r="C342" t="s">
        <v>154</v>
      </c>
      <c r="D342" t="s">
        <v>72</v>
      </c>
      <c r="E342" t="s">
        <v>27</v>
      </c>
      <c r="F342" t="s">
        <v>138</v>
      </c>
      <c r="G342">
        <v>1</v>
      </c>
      <c r="H342">
        <v>650</v>
      </c>
      <c r="I342">
        <v>0</v>
      </c>
      <c r="J342" t="s">
        <v>51</v>
      </c>
      <c r="K342" t="s">
        <v>36</v>
      </c>
    </row>
    <row r="343" spans="1:11" x14ac:dyDescent="0.3">
      <c r="A343" t="s">
        <v>583</v>
      </c>
      <c r="B343" t="s">
        <v>462</v>
      </c>
      <c r="C343" t="s">
        <v>61</v>
      </c>
      <c r="D343" t="s">
        <v>14</v>
      </c>
      <c r="E343" t="s">
        <v>65</v>
      </c>
      <c r="F343" t="s">
        <v>106</v>
      </c>
      <c r="G343">
        <v>4</v>
      </c>
      <c r="H343">
        <v>750</v>
      </c>
      <c r="I343">
        <v>0</v>
      </c>
      <c r="J343" t="s">
        <v>17</v>
      </c>
      <c r="K343" t="s">
        <v>36</v>
      </c>
    </row>
    <row r="344" spans="1:11" x14ac:dyDescent="0.3">
      <c r="A344" t="s">
        <v>584</v>
      </c>
      <c r="B344" t="s">
        <v>253</v>
      </c>
      <c r="C344" t="s">
        <v>105</v>
      </c>
      <c r="D344" t="s">
        <v>72</v>
      </c>
      <c r="E344" t="s">
        <v>34</v>
      </c>
      <c r="F344" t="s">
        <v>41</v>
      </c>
      <c r="G344">
        <v>2</v>
      </c>
      <c r="H344">
        <v>1600</v>
      </c>
      <c r="I344">
        <v>5</v>
      </c>
      <c r="J344" t="s">
        <v>17</v>
      </c>
      <c r="K344" t="s">
        <v>36</v>
      </c>
    </row>
    <row r="345" spans="1:11" x14ac:dyDescent="0.3">
      <c r="A345" t="s">
        <v>585</v>
      </c>
      <c r="B345" t="s">
        <v>94</v>
      </c>
      <c r="C345" t="s">
        <v>54</v>
      </c>
      <c r="D345" t="s">
        <v>14</v>
      </c>
      <c r="E345" t="s">
        <v>27</v>
      </c>
      <c r="F345" t="s">
        <v>138</v>
      </c>
      <c r="G345">
        <v>2</v>
      </c>
      <c r="H345">
        <v>650</v>
      </c>
      <c r="I345">
        <v>15</v>
      </c>
      <c r="J345" t="s">
        <v>29</v>
      </c>
      <c r="K345" t="s">
        <v>22</v>
      </c>
    </row>
    <row r="346" spans="1:11" x14ac:dyDescent="0.3">
      <c r="A346" t="s">
        <v>586</v>
      </c>
      <c r="B346" t="s">
        <v>113</v>
      </c>
      <c r="C346" t="s">
        <v>33</v>
      </c>
      <c r="D346" t="s">
        <v>40</v>
      </c>
      <c r="E346" t="s">
        <v>15</v>
      </c>
      <c r="F346" t="s">
        <v>16</v>
      </c>
      <c r="G346">
        <v>5</v>
      </c>
      <c r="H346">
        <v>1500</v>
      </c>
      <c r="I346">
        <v>15</v>
      </c>
      <c r="J346" t="s">
        <v>51</v>
      </c>
      <c r="K346" t="s">
        <v>18</v>
      </c>
    </row>
    <row r="347" spans="1:11" x14ac:dyDescent="0.3">
      <c r="A347" t="s">
        <v>587</v>
      </c>
      <c r="B347" t="s">
        <v>414</v>
      </c>
      <c r="C347" t="s">
        <v>39</v>
      </c>
      <c r="D347" t="s">
        <v>40</v>
      </c>
      <c r="E347" t="s">
        <v>34</v>
      </c>
      <c r="F347" t="s">
        <v>35</v>
      </c>
      <c r="G347">
        <v>2</v>
      </c>
      <c r="H347">
        <v>3500</v>
      </c>
      <c r="I347">
        <v>20</v>
      </c>
      <c r="J347" t="s">
        <v>51</v>
      </c>
      <c r="K347" t="s">
        <v>36</v>
      </c>
    </row>
    <row r="348" spans="1:11" x14ac:dyDescent="0.3">
      <c r="A348" t="s">
        <v>588</v>
      </c>
      <c r="B348" t="s">
        <v>275</v>
      </c>
      <c r="C348" t="s">
        <v>215</v>
      </c>
      <c r="D348" t="s">
        <v>14</v>
      </c>
      <c r="E348" t="s">
        <v>34</v>
      </c>
      <c r="F348" t="s">
        <v>35</v>
      </c>
      <c r="G348">
        <v>4</v>
      </c>
      <c r="H348">
        <v>3500</v>
      </c>
      <c r="I348">
        <v>10</v>
      </c>
      <c r="J348" t="s">
        <v>17</v>
      </c>
      <c r="K348" t="s">
        <v>22</v>
      </c>
    </row>
    <row r="349" spans="1:11" x14ac:dyDescent="0.3">
      <c r="A349" t="s">
        <v>589</v>
      </c>
      <c r="B349" t="s">
        <v>83</v>
      </c>
      <c r="C349" t="s">
        <v>13</v>
      </c>
      <c r="D349" t="s">
        <v>72</v>
      </c>
      <c r="E349" t="s">
        <v>65</v>
      </c>
      <c r="F349" t="s">
        <v>66</v>
      </c>
      <c r="G349">
        <v>5</v>
      </c>
      <c r="H349">
        <v>850</v>
      </c>
      <c r="I349">
        <v>0</v>
      </c>
      <c r="J349" t="s">
        <v>17</v>
      </c>
      <c r="K349" t="s">
        <v>30</v>
      </c>
    </row>
    <row r="350" spans="1:11" x14ac:dyDescent="0.3">
      <c r="A350" t="s">
        <v>590</v>
      </c>
      <c r="B350" t="s">
        <v>204</v>
      </c>
      <c r="C350" t="s">
        <v>48</v>
      </c>
      <c r="D350" t="s">
        <v>72</v>
      </c>
      <c r="E350" t="s">
        <v>34</v>
      </c>
      <c r="F350" t="s">
        <v>35</v>
      </c>
      <c r="G350">
        <v>3</v>
      </c>
      <c r="H350">
        <v>3500</v>
      </c>
      <c r="I350">
        <v>20</v>
      </c>
      <c r="J350" t="s">
        <v>55</v>
      </c>
      <c r="K350" t="s">
        <v>18</v>
      </c>
    </row>
    <row r="351" spans="1:11" x14ac:dyDescent="0.3">
      <c r="A351" t="s">
        <v>591</v>
      </c>
      <c r="B351" t="s">
        <v>98</v>
      </c>
      <c r="C351" t="s">
        <v>61</v>
      </c>
      <c r="D351" t="s">
        <v>40</v>
      </c>
      <c r="E351" t="s">
        <v>15</v>
      </c>
      <c r="F351" t="s">
        <v>16</v>
      </c>
      <c r="G351">
        <v>3</v>
      </c>
      <c r="H351">
        <v>1500</v>
      </c>
      <c r="I351">
        <v>5</v>
      </c>
      <c r="J351" t="s">
        <v>17</v>
      </c>
      <c r="K351" t="s">
        <v>36</v>
      </c>
    </row>
    <row r="352" spans="1:11" x14ac:dyDescent="0.3">
      <c r="A352" t="s">
        <v>592</v>
      </c>
      <c r="B352" t="s">
        <v>271</v>
      </c>
      <c r="C352" t="s">
        <v>593</v>
      </c>
      <c r="D352" t="s">
        <v>72</v>
      </c>
      <c r="E352" t="s">
        <v>65</v>
      </c>
      <c r="F352" t="s">
        <v>92</v>
      </c>
      <c r="G352">
        <v>4</v>
      </c>
      <c r="H352">
        <v>700</v>
      </c>
      <c r="I352">
        <v>15</v>
      </c>
      <c r="J352" t="s">
        <v>17</v>
      </c>
      <c r="K352" t="s">
        <v>22</v>
      </c>
    </row>
    <row r="353" spans="1:11" x14ac:dyDescent="0.3">
      <c r="A353" t="s">
        <v>594</v>
      </c>
      <c r="B353" t="s">
        <v>595</v>
      </c>
      <c r="C353" t="s">
        <v>61</v>
      </c>
      <c r="D353" t="s">
        <v>14</v>
      </c>
      <c r="E353" t="s">
        <v>34</v>
      </c>
      <c r="F353" t="s">
        <v>100</v>
      </c>
      <c r="G353">
        <v>2</v>
      </c>
      <c r="H353">
        <v>1200</v>
      </c>
      <c r="I353">
        <v>20</v>
      </c>
      <c r="J353" t="s">
        <v>51</v>
      </c>
      <c r="K353" t="s">
        <v>18</v>
      </c>
    </row>
    <row r="354" spans="1:11" x14ac:dyDescent="0.3">
      <c r="A354" t="s">
        <v>596</v>
      </c>
      <c r="B354" t="s">
        <v>595</v>
      </c>
      <c r="C354" t="s">
        <v>133</v>
      </c>
      <c r="D354" t="s">
        <v>72</v>
      </c>
      <c r="E354" t="s">
        <v>27</v>
      </c>
      <c r="F354" t="s">
        <v>89</v>
      </c>
      <c r="G354">
        <v>2</v>
      </c>
      <c r="H354">
        <v>450</v>
      </c>
      <c r="I354">
        <v>0</v>
      </c>
      <c r="J354" t="s">
        <v>55</v>
      </c>
      <c r="K354" t="s">
        <v>36</v>
      </c>
    </row>
    <row r="355" spans="1:11" x14ac:dyDescent="0.3">
      <c r="A355" t="s">
        <v>597</v>
      </c>
      <c r="B355" t="s">
        <v>121</v>
      </c>
      <c r="C355" t="s">
        <v>215</v>
      </c>
      <c r="D355" t="s">
        <v>40</v>
      </c>
      <c r="E355" t="s">
        <v>65</v>
      </c>
      <c r="F355" t="s">
        <v>85</v>
      </c>
      <c r="G355">
        <v>3</v>
      </c>
      <c r="H355">
        <v>650</v>
      </c>
      <c r="I355">
        <v>5</v>
      </c>
      <c r="J355" t="s">
        <v>17</v>
      </c>
      <c r="K355" t="s">
        <v>36</v>
      </c>
    </row>
    <row r="356" spans="1:11" x14ac:dyDescent="0.3">
      <c r="A356" t="s">
        <v>598</v>
      </c>
      <c r="B356" t="s">
        <v>599</v>
      </c>
      <c r="C356" t="s">
        <v>196</v>
      </c>
      <c r="D356" t="s">
        <v>26</v>
      </c>
      <c r="E356" t="s">
        <v>49</v>
      </c>
      <c r="F356" t="s">
        <v>182</v>
      </c>
      <c r="G356">
        <v>5</v>
      </c>
      <c r="H356">
        <v>800</v>
      </c>
      <c r="I356">
        <v>20</v>
      </c>
      <c r="J356" t="s">
        <v>51</v>
      </c>
      <c r="K356" t="s">
        <v>22</v>
      </c>
    </row>
    <row r="357" spans="1:11" x14ac:dyDescent="0.3">
      <c r="A357" t="s">
        <v>600</v>
      </c>
      <c r="B357" t="s">
        <v>60</v>
      </c>
      <c r="C357" t="s">
        <v>88</v>
      </c>
      <c r="D357" t="s">
        <v>40</v>
      </c>
      <c r="E357" t="s">
        <v>34</v>
      </c>
      <c r="F357" t="s">
        <v>35</v>
      </c>
      <c r="G357">
        <v>1</v>
      </c>
      <c r="H357">
        <v>3500</v>
      </c>
      <c r="I357">
        <v>10</v>
      </c>
      <c r="J357" t="s">
        <v>29</v>
      </c>
      <c r="K357" t="s">
        <v>30</v>
      </c>
    </row>
    <row r="358" spans="1:11" x14ac:dyDescent="0.3">
      <c r="A358" t="s">
        <v>601</v>
      </c>
      <c r="B358" t="s">
        <v>141</v>
      </c>
      <c r="C358" t="s">
        <v>133</v>
      </c>
      <c r="D358" t="s">
        <v>40</v>
      </c>
      <c r="E358" t="s">
        <v>27</v>
      </c>
      <c r="F358" t="s">
        <v>89</v>
      </c>
      <c r="G358">
        <v>4</v>
      </c>
      <c r="H358">
        <v>450</v>
      </c>
      <c r="I358">
        <v>15</v>
      </c>
      <c r="J358" t="s">
        <v>51</v>
      </c>
      <c r="K358" t="s">
        <v>36</v>
      </c>
    </row>
    <row r="359" spans="1:11" x14ac:dyDescent="0.3">
      <c r="A359" t="s">
        <v>602</v>
      </c>
      <c r="B359" t="s">
        <v>91</v>
      </c>
      <c r="C359" t="s">
        <v>54</v>
      </c>
      <c r="D359" t="s">
        <v>14</v>
      </c>
      <c r="E359" t="s">
        <v>65</v>
      </c>
      <c r="F359" t="s">
        <v>92</v>
      </c>
      <c r="G359">
        <v>3</v>
      </c>
      <c r="H359">
        <v>700</v>
      </c>
      <c r="I359">
        <v>0</v>
      </c>
      <c r="J359" t="s">
        <v>17</v>
      </c>
      <c r="K359" t="s">
        <v>22</v>
      </c>
    </row>
    <row r="360" spans="1:11" x14ac:dyDescent="0.3">
      <c r="A360" t="s">
        <v>603</v>
      </c>
      <c r="B360" t="s">
        <v>551</v>
      </c>
      <c r="C360" t="s">
        <v>48</v>
      </c>
      <c r="D360" t="s">
        <v>40</v>
      </c>
      <c r="E360" t="s">
        <v>27</v>
      </c>
      <c r="F360" t="s">
        <v>89</v>
      </c>
      <c r="G360">
        <v>2</v>
      </c>
      <c r="H360">
        <v>450</v>
      </c>
      <c r="I360">
        <v>0</v>
      </c>
      <c r="J360" t="s">
        <v>29</v>
      </c>
      <c r="K360" t="s">
        <v>30</v>
      </c>
    </row>
    <row r="361" spans="1:11" x14ac:dyDescent="0.3">
      <c r="A361" t="s">
        <v>604</v>
      </c>
      <c r="B361" t="s">
        <v>156</v>
      </c>
      <c r="C361" t="s">
        <v>84</v>
      </c>
      <c r="D361" t="s">
        <v>40</v>
      </c>
      <c r="E361" t="s">
        <v>65</v>
      </c>
      <c r="F361" t="s">
        <v>106</v>
      </c>
      <c r="G361">
        <v>5</v>
      </c>
      <c r="H361">
        <v>750</v>
      </c>
      <c r="I361">
        <v>15</v>
      </c>
      <c r="J361" t="s">
        <v>55</v>
      </c>
      <c r="K361" t="s">
        <v>30</v>
      </c>
    </row>
    <row r="362" spans="1:11" x14ac:dyDescent="0.3">
      <c r="A362" t="s">
        <v>605</v>
      </c>
      <c r="B362" t="s">
        <v>527</v>
      </c>
      <c r="C362" t="s">
        <v>39</v>
      </c>
      <c r="D362" t="s">
        <v>40</v>
      </c>
      <c r="E362" t="s">
        <v>49</v>
      </c>
      <c r="F362" t="s">
        <v>58</v>
      </c>
      <c r="G362">
        <v>5</v>
      </c>
      <c r="H362">
        <v>3200</v>
      </c>
      <c r="I362">
        <v>10</v>
      </c>
      <c r="J362" t="s">
        <v>17</v>
      </c>
      <c r="K362" t="s">
        <v>36</v>
      </c>
    </row>
    <row r="363" spans="1:11" x14ac:dyDescent="0.3">
      <c r="A363" t="s">
        <v>606</v>
      </c>
      <c r="B363" t="s">
        <v>275</v>
      </c>
      <c r="C363" t="s">
        <v>117</v>
      </c>
      <c r="D363" t="s">
        <v>72</v>
      </c>
      <c r="E363" t="s">
        <v>49</v>
      </c>
      <c r="F363" t="s">
        <v>157</v>
      </c>
      <c r="G363">
        <v>1</v>
      </c>
      <c r="H363">
        <v>1800</v>
      </c>
      <c r="I363">
        <v>15</v>
      </c>
      <c r="J363" t="s">
        <v>51</v>
      </c>
      <c r="K363" t="s">
        <v>30</v>
      </c>
    </row>
    <row r="364" spans="1:11" x14ac:dyDescent="0.3">
      <c r="A364" t="s">
        <v>607</v>
      </c>
      <c r="B364" t="s">
        <v>150</v>
      </c>
      <c r="C364" t="s">
        <v>25</v>
      </c>
      <c r="D364" t="s">
        <v>40</v>
      </c>
      <c r="E364" t="s">
        <v>34</v>
      </c>
      <c r="F364" t="s">
        <v>100</v>
      </c>
      <c r="G364">
        <v>3</v>
      </c>
      <c r="H364">
        <v>1200</v>
      </c>
      <c r="I364">
        <v>5</v>
      </c>
      <c r="J364" t="s">
        <v>51</v>
      </c>
      <c r="K364" t="s">
        <v>30</v>
      </c>
    </row>
    <row r="365" spans="1:11" x14ac:dyDescent="0.3">
      <c r="A365" t="s">
        <v>608</v>
      </c>
      <c r="B365" t="s">
        <v>209</v>
      </c>
      <c r="C365" t="s">
        <v>54</v>
      </c>
      <c r="D365" t="s">
        <v>72</v>
      </c>
      <c r="E365" t="s">
        <v>27</v>
      </c>
      <c r="F365" t="s">
        <v>138</v>
      </c>
      <c r="G365">
        <v>2</v>
      </c>
      <c r="H365">
        <v>650</v>
      </c>
      <c r="I365">
        <v>20</v>
      </c>
      <c r="J365" t="s">
        <v>55</v>
      </c>
      <c r="K365" t="s">
        <v>22</v>
      </c>
    </row>
    <row r="366" spans="1:11" x14ac:dyDescent="0.3">
      <c r="A366" t="s">
        <v>609</v>
      </c>
      <c r="B366" t="s">
        <v>184</v>
      </c>
      <c r="C366" t="s">
        <v>13</v>
      </c>
      <c r="D366" t="s">
        <v>26</v>
      </c>
      <c r="E366" t="s">
        <v>15</v>
      </c>
      <c r="F366" t="s">
        <v>146</v>
      </c>
      <c r="G366">
        <v>1</v>
      </c>
      <c r="H366">
        <v>2500</v>
      </c>
      <c r="I366">
        <v>10</v>
      </c>
      <c r="J366" t="s">
        <v>17</v>
      </c>
      <c r="K366" t="s">
        <v>18</v>
      </c>
    </row>
    <row r="367" spans="1:11" x14ac:dyDescent="0.3">
      <c r="A367" t="s">
        <v>610</v>
      </c>
      <c r="B367" t="s">
        <v>611</v>
      </c>
      <c r="C367" t="s">
        <v>166</v>
      </c>
      <c r="D367" t="s">
        <v>14</v>
      </c>
      <c r="E367" t="s">
        <v>34</v>
      </c>
      <c r="F367" t="s">
        <v>100</v>
      </c>
      <c r="G367">
        <v>4</v>
      </c>
      <c r="H367">
        <v>1200</v>
      </c>
      <c r="I367">
        <v>15</v>
      </c>
      <c r="J367" t="s">
        <v>17</v>
      </c>
      <c r="K367" t="s">
        <v>22</v>
      </c>
    </row>
    <row r="368" spans="1:11" x14ac:dyDescent="0.3">
      <c r="A368" t="s">
        <v>612</v>
      </c>
      <c r="B368" t="s">
        <v>551</v>
      </c>
      <c r="C368" t="s">
        <v>84</v>
      </c>
      <c r="D368" t="s">
        <v>14</v>
      </c>
      <c r="E368" t="s">
        <v>34</v>
      </c>
      <c r="F368" t="s">
        <v>100</v>
      </c>
      <c r="G368">
        <v>5</v>
      </c>
      <c r="H368">
        <v>1200</v>
      </c>
      <c r="I368">
        <v>15</v>
      </c>
      <c r="J368" t="s">
        <v>51</v>
      </c>
      <c r="K368" t="s">
        <v>18</v>
      </c>
    </row>
    <row r="369" spans="1:11" x14ac:dyDescent="0.3">
      <c r="A369" t="s">
        <v>613</v>
      </c>
      <c r="B369" t="s">
        <v>435</v>
      </c>
      <c r="C369" t="s">
        <v>166</v>
      </c>
      <c r="D369" t="s">
        <v>14</v>
      </c>
      <c r="E369" t="s">
        <v>15</v>
      </c>
      <c r="F369" t="s">
        <v>45</v>
      </c>
      <c r="G369">
        <v>4</v>
      </c>
      <c r="H369">
        <v>4500</v>
      </c>
      <c r="I369">
        <v>0</v>
      </c>
      <c r="J369" t="s">
        <v>17</v>
      </c>
      <c r="K369" t="s">
        <v>18</v>
      </c>
    </row>
    <row r="370" spans="1:11" x14ac:dyDescent="0.3">
      <c r="A370" t="s">
        <v>614</v>
      </c>
      <c r="B370" t="s">
        <v>355</v>
      </c>
      <c r="C370" t="s">
        <v>39</v>
      </c>
      <c r="D370" t="s">
        <v>26</v>
      </c>
      <c r="E370" t="s">
        <v>49</v>
      </c>
      <c r="F370" t="s">
        <v>157</v>
      </c>
      <c r="G370">
        <v>4</v>
      </c>
      <c r="H370">
        <v>1800</v>
      </c>
      <c r="I370">
        <v>10</v>
      </c>
      <c r="J370" t="s">
        <v>51</v>
      </c>
      <c r="K370" t="s">
        <v>18</v>
      </c>
    </row>
    <row r="371" spans="1:11" x14ac:dyDescent="0.3">
      <c r="A371" t="s">
        <v>615</v>
      </c>
      <c r="B371" t="s">
        <v>616</v>
      </c>
      <c r="C371" t="s">
        <v>21</v>
      </c>
      <c r="D371" t="s">
        <v>14</v>
      </c>
      <c r="E371" t="s">
        <v>34</v>
      </c>
      <c r="F371" t="s">
        <v>35</v>
      </c>
      <c r="G371">
        <v>5</v>
      </c>
      <c r="H371">
        <v>3500</v>
      </c>
      <c r="I371">
        <v>0</v>
      </c>
      <c r="J371" t="s">
        <v>55</v>
      </c>
      <c r="K371" t="s">
        <v>36</v>
      </c>
    </row>
    <row r="372" spans="1:11" x14ac:dyDescent="0.3">
      <c r="A372" t="s">
        <v>617</v>
      </c>
      <c r="B372" t="s">
        <v>217</v>
      </c>
      <c r="C372" t="s">
        <v>179</v>
      </c>
      <c r="D372" t="s">
        <v>72</v>
      </c>
      <c r="E372" t="s">
        <v>49</v>
      </c>
      <c r="F372" t="s">
        <v>58</v>
      </c>
      <c r="G372">
        <v>1</v>
      </c>
      <c r="H372">
        <v>3200</v>
      </c>
      <c r="I372">
        <v>20</v>
      </c>
      <c r="J372" t="s">
        <v>51</v>
      </c>
      <c r="K372" t="s">
        <v>22</v>
      </c>
    </row>
    <row r="373" spans="1:11" x14ac:dyDescent="0.3">
      <c r="A373" t="s">
        <v>618</v>
      </c>
      <c r="B373" t="s">
        <v>209</v>
      </c>
      <c r="C373" t="s">
        <v>39</v>
      </c>
      <c r="D373" t="s">
        <v>40</v>
      </c>
      <c r="E373" t="s">
        <v>65</v>
      </c>
      <c r="F373" t="s">
        <v>96</v>
      </c>
      <c r="G373">
        <v>1</v>
      </c>
      <c r="H373">
        <v>900</v>
      </c>
      <c r="I373">
        <v>5</v>
      </c>
      <c r="J373" t="s">
        <v>51</v>
      </c>
      <c r="K373" t="s">
        <v>36</v>
      </c>
    </row>
    <row r="374" spans="1:11" x14ac:dyDescent="0.3">
      <c r="A374" t="s">
        <v>619</v>
      </c>
      <c r="B374" t="s">
        <v>322</v>
      </c>
      <c r="C374" t="s">
        <v>61</v>
      </c>
      <c r="D374" t="s">
        <v>14</v>
      </c>
      <c r="E374" t="s">
        <v>49</v>
      </c>
      <c r="F374" t="s">
        <v>50</v>
      </c>
      <c r="G374">
        <v>3</v>
      </c>
      <c r="H374">
        <v>2200</v>
      </c>
      <c r="I374">
        <v>15</v>
      </c>
      <c r="J374" t="s">
        <v>17</v>
      </c>
      <c r="K374" t="s">
        <v>30</v>
      </c>
    </row>
    <row r="375" spans="1:11" x14ac:dyDescent="0.3">
      <c r="A375" t="s">
        <v>620</v>
      </c>
      <c r="B375" t="s">
        <v>344</v>
      </c>
      <c r="C375" t="s">
        <v>176</v>
      </c>
      <c r="D375" t="s">
        <v>72</v>
      </c>
      <c r="E375" t="s">
        <v>34</v>
      </c>
      <c r="F375" t="s">
        <v>35</v>
      </c>
      <c r="G375">
        <v>5</v>
      </c>
      <c r="H375">
        <v>3500</v>
      </c>
      <c r="I375">
        <v>20</v>
      </c>
      <c r="J375" t="s">
        <v>55</v>
      </c>
      <c r="K375" t="s">
        <v>36</v>
      </c>
    </row>
    <row r="376" spans="1:11" x14ac:dyDescent="0.3">
      <c r="A376" t="s">
        <v>621</v>
      </c>
      <c r="B376" t="s">
        <v>113</v>
      </c>
      <c r="C376" t="s">
        <v>142</v>
      </c>
      <c r="D376" t="s">
        <v>40</v>
      </c>
      <c r="E376" t="s">
        <v>65</v>
      </c>
      <c r="F376" t="s">
        <v>85</v>
      </c>
      <c r="G376">
        <v>1</v>
      </c>
      <c r="H376">
        <v>650</v>
      </c>
      <c r="I376">
        <v>5</v>
      </c>
      <c r="J376" t="s">
        <v>55</v>
      </c>
      <c r="K376" t="s">
        <v>22</v>
      </c>
    </row>
    <row r="377" spans="1:11" x14ac:dyDescent="0.3">
      <c r="A377" t="s">
        <v>622</v>
      </c>
      <c r="B377" t="s">
        <v>330</v>
      </c>
      <c r="C377" t="s">
        <v>249</v>
      </c>
      <c r="D377" t="s">
        <v>40</v>
      </c>
      <c r="E377" t="s">
        <v>65</v>
      </c>
      <c r="F377" t="s">
        <v>96</v>
      </c>
      <c r="G377">
        <v>5</v>
      </c>
      <c r="H377">
        <v>900</v>
      </c>
      <c r="I377">
        <v>20</v>
      </c>
      <c r="J377" t="s">
        <v>51</v>
      </c>
      <c r="K377" t="s">
        <v>36</v>
      </c>
    </row>
    <row r="378" spans="1:11" x14ac:dyDescent="0.3">
      <c r="A378" t="s">
        <v>623</v>
      </c>
      <c r="B378" t="s">
        <v>425</v>
      </c>
      <c r="C378" t="s">
        <v>95</v>
      </c>
      <c r="D378" t="s">
        <v>72</v>
      </c>
      <c r="E378" t="s">
        <v>15</v>
      </c>
      <c r="F378" t="s">
        <v>16</v>
      </c>
      <c r="G378">
        <v>2</v>
      </c>
      <c r="H378">
        <v>1500</v>
      </c>
      <c r="I378">
        <v>0</v>
      </c>
      <c r="J378" t="s">
        <v>51</v>
      </c>
      <c r="K378" t="s">
        <v>36</v>
      </c>
    </row>
    <row r="379" spans="1:11" x14ac:dyDescent="0.3">
      <c r="A379" t="s">
        <v>624</v>
      </c>
      <c r="B379" t="s">
        <v>625</v>
      </c>
      <c r="C379" t="s">
        <v>71</v>
      </c>
      <c r="D379" t="s">
        <v>72</v>
      </c>
      <c r="E379" t="s">
        <v>15</v>
      </c>
      <c r="F379" t="s">
        <v>146</v>
      </c>
      <c r="G379">
        <v>4</v>
      </c>
      <c r="H379">
        <v>2500</v>
      </c>
      <c r="I379">
        <v>15</v>
      </c>
      <c r="J379" t="s">
        <v>17</v>
      </c>
      <c r="K379" t="s">
        <v>18</v>
      </c>
    </row>
    <row r="380" spans="1:11" x14ac:dyDescent="0.3">
      <c r="A380" t="s">
        <v>626</v>
      </c>
      <c r="B380" t="s">
        <v>340</v>
      </c>
      <c r="C380" t="s">
        <v>21</v>
      </c>
      <c r="D380" t="s">
        <v>14</v>
      </c>
      <c r="E380" t="s">
        <v>65</v>
      </c>
      <c r="F380" t="s">
        <v>106</v>
      </c>
      <c r="G380">
        <v>3</v>
      </c>
      <c r="H380">
        <v>750</v>
      </c>
      <c r="I380">
        <v>10</v>
      </c>
      <c r="J380" t="s">
        <v>29</v>
      </c>
      <c r="K380" t="s">
        <v>22</v>
      </c>
    </row>
    <row r="381" spans="1:11" x14ac:dyDescent="0.3">
      <c r="A381" t="s">
        <v>627</v>
      </c>
      <c r="B381" t="s">
        <v>535</v>
      </c>
      <c r="C381" t="s">
        <v>215</v>
      </c>
      <c r="D381" t="s">
        <v>14</v>
      </c>
      <c r="E381" t="s">
        <v>15</v>
      </c>
      <c r="F381" t="s">
        <v>45</v>
      </c>
      <c r="G381">
        <v>3</v>
      </c>
      <c r="H381">
        <v>4500</v>
      </c>
      <c r="I381">
        <v>15</v>
      </c>
      <c r="J381" t="s">
        <v>29</v>
      </c>
      <c r="K381" t="s">
        <v>18</v>
      </c>
    </row>
    <row r="382" spans="1:11" x14ac:dyDescent="0.3">
      <c r="A382" t="s">
        <v>628</v>
      </c>
      <c r="B382" t="s">
        <v>229</v>
      </c>
      <c r="C382" t="s">
        <v>176</v>
      </c>
      <c r="D382" t="s">
        <v>14</v>
      </c>
      <c r="E382" t="s">
        <v>15</v>
      </c>
      <c r="F382" t="s">
        <v>16</v>
      </c>
      <c r="G382">
        <v>4</v>
      </c>
      <c r="H382">
        <v>1500</v>
      </c>
      <c r="I382">
        <v>5</v>
      </c>
      <c r="J382" t="s">
        <v>55</v>
      </c>
      <c r="K382" t="s">
        <v>36</v>
      </c>
    </row>
    <row r="383" spans="1:11" x14ac:dyDescent="0.3">
      <c r="A383" t="s">
        <v>629</v>
      </c>
      <c r="B383" t="s">
        <v>462</v>
      </c>
      <c r="C383" t="s">
        <v>99</v>
      </c>
      <c r="D383" t="s">
        <v>72</v>
      </c>
      <c r="E383" t="s">
        <v>65</v>
      </c>
      <c r="F383" t="s">
        <v>96</v>
      </c>
      <c r="G383">
        <v>3</v>
      </c>
      <c r="H383">
        <v>900</v>
      </c>
      <c r="I383">
        <v>20</v>
      </c>
      <c r="J383" t="s">
        <v>51</v>
      </c>
      <c r="K383" t="s">
        <v>18</v>
      </c>
    </row>
    <row r="384" spans="1:11" x14ac:dyDescent="0.3">
      <c r="A384" t="s">
        <v>630</v>
      </c>
      <c r="B384" t="s">
        <v>184</v>
      </c>
      <c r="C384" t="s">
        <v>179</v>
      </c>
      <c r="D384" t="s">
        <v>14</v>
      </c>
      <c r="E384" t="s">
        <v>34</v>
      </c>
      <c r="F384" t="s">
        <v>35</v>
      </c>
      <c r="G384">
        <v>1</v>
      </c>
      <c r="H384">
        <v>3500</v>
      </c>
      <c r="I384">
        <v>10</v>
      </c>
      <c r="J384" t="s">
        <v>17</v>
      </c>
      <c r="K384" t="s">
        <v>18</v>
      </c>
    </row>
    <row r="385" spans="1:11" x14ac:dyDescent="0.3">
      <c r="A385" t="s">
        <v>631</v>
      </c>
      <c r="B385" t="s">
        <v>543</v>
      </c>
      <c r="C385" t="s">
        <v>13</v>
      </c>
      <c r="D385" t="s">
        <v>14</v>
      </c>
      <c r="E385" t="s">
        <v>27</v>
      </c>
      <c r="F385" t="s">
        <v>171</v>
      </c>
      <c r="G385">
        <v>1</v>
      </c>
      <c r="H385">
        <v>550</v>
      </c>
      <c r="I385">
        <v>5</v>
      </c>
      <c r="J385" t="s">
        <v>55</v>
      </c>
      <c r="K385" t="s">
        <v>30</v>
      </c>
    </row>
    <row r="386" spans="1:11" x14ac:dyDescent="0.3">
      <c r="A386" t="s">
        <v>632</v>
      </c>
      <c r="B386" t="s">
        <v>24</v>
      </c>
      <c r="C386" t="s">
        <v>125</v>
      </c>
      <c r="D386" t="s">
        <v>72</v>
      </c>
      <c r="E386" t="s">
        <v>27</v>
      </c>
      <c r="F386" t="s">
        <v>89</v>
      </c>
      <c r="G386">
        <v>3</v>
      </c>
      <c r="H386">
        <v>450</v>
      </c>
      <c r="I386">
        <v>5</v>
      </c>
      <c r="J386" t="s">
        <v>55</v>
      </c>
      <c r="K386" t="s">
        <v>22</v>
      </c>
    </row>
    <row r="387" spans="1:11" x14ac:dyDescent="0.3">
      <c r="A387" t="s">
        <v>633</v>
      </c>
      <c r="B387" t="s">
        <v>173</v>
      </c>
      <c r="C387" t="s">
        <v>54</v>
      </c>
      <c r="D387" t="s">
        <v>40</v>
      </c>
      <c r="E387" t="s">
        <v>27</v>
      </c>
      <c r="F387" t="s">
        <v>171</v>
      </c>
      <c r="G387">
        <v>3</v>
      </c>
      <c r="H387">
        <v>550</v>
      </c>
      <c r="I387">
        <v>20</v>
      </c>
      <c r="J387" t="s">
        <v>55</v>
      </c>
      <c r="K387" t="s">
        <v>22</v>
      </c>
    </row>
    <row r="388" spans="1:11" x14ac:dyDescent="0.3">
      <c r="A388" t="s">
        <v>634</v>
      </c>
      <c r="B388" t="s">
        <v>595</v>
      </c>
      <c r="C388" t="s">
        <v>71</v>
      </c>
      <c r="D388" t="s">
        <v>72</v>
      </c>
      <c r="E388" t="s">
        <v>65</v>
      </c>
      <c r="F388" t="s">
        <v>92</v>
      </c>
      <c r="G388">
        <v>1</v>
      </c>
      <c r="H388">
        <v>700</v>
      </c>
      <c r="I388">
        <v>0</v>
      </c>
      <c r="J388" t="s">
        <v>17</v>
      </c>
      <c r="K388" t="s">
        <v>22</v>
      </c>
    </row>
    <row r="389" spans="1:11" x14ac:dyDescent="0.3">
      <c r="A389" t="s">
        <v>635</v>
      </c>
      <c r="B389" t="s">
        <v>214</v>
      </c>
      <c r="C389" t="s">
        <v>166</v>
      </c>
      <c r="D389" t="s">
        <v>72</v>
      </c>
      <c r="E389" t="s">
        <v>27</v>
      </c>
      <c r="F389" t="s">
        <v>138</v>
      </c>
      <c r="G389">
        <v>1</v>
      </c>
      <c r="H389">
        <v>650</v>
      </c>
      <c r="I389">
        <v>10</v>
      </c>
      <c r="J389" t="s">
        <v>55</v>
      </c>
      <c r="K389" t="s">
        <v>22</v>
      </c>
    </row>
    <row r="390" spans="1:11" x14ac:dyDescent="0.3">
      <c r="A390" t="s">
        <v>636</v>
      </c>
      <c r="B390" t="s">
        <v>273</v>
      </c>
      <c r="C390" t="s">
        <v>117</v>
      </c>
      <c r="D390" t="s">
        <v>40</v>
      </c>
      <c r="E390" t="s">
        <v>34</v>
      </c>
      <c r="F390" t="s">
        <v>35</v>
      </c>
      <c r="G390">
        <v>2</v>
      </c>
      <c r="H390">
        <v>3500</v>
      </c>
      <c r="I390">
        <v>20</v>
      </c>
      <c r="J390" t="s">
        <v>55</v>
      </c>
      <c r="K390" t="s">
        <v>36</v>
      </c>
    </row>
    <row r="391" spans="1:11" x14ac:dyDescent="0.3">
      <c r="A391" t="s">
        <v>637</v>
      </c>
      <c r="B391" t="s">
        <v>258</v>
      </c>
      <c r="C391" t="s">
        <v>54</v>
      </c>
      <c r="D391" t="s">
        <v>72</v>
      </c>
      <c r="E391" t="s">
        <v>27</v>
      </c>
      <c r="F391" t="s">
        <v>171</v>
      </c>
      <c r="G391">
        <v>5</v>
      </c>
      <c r="H391">
        <v>550</v>
      </c>
      <c r="I391">
        <v>0</v>
      </c>
      <c r="J391" t="s">
        <v>51</v>
      </c>
      <c r="K391" t="s">
        <v>30</v>
      </c>
    </row>
    <row r="392" spans="1:11" x14ac:dyDescent="0.3">
      <c r="A392" t="s">
        <v>638</v>
      </c>
      <c r="B392" t="s">
        <v>127</v>
      </c>
      <c r="C392" t="s">
        <v>88</v>
      </c>
      <c r="D392" t="s">
        <v>72</v>
      </c>
      <c r="E392" t="s">
        <v>34</v>
      </c>
      <c r="F392" t="s">
        <v>35</v>
      </c>
      <c r="G392">
        <v>4</v>
      </c>
      <c r="H392">
        <v>3500</v>
      </c>
      <c r="I392">
        <v>10</v>
      </c>
      <c r="J392" t="s">
        <v>55</v>
      </c>
      <c r="K392" t="s">
        <v>30</v>
      </c>
    </row>
    <row r="393" spans="1:11" x14ac:dyDescent="0.3">
      <c r="A393" t="s">
        <v>639</v>
      </c>
      <c r="B393" t="s">
        <v>268</v>
      </c>
      <c r="C393" t="s">
        <v>176</v>
      </c>
      <c r="D393" t="s">
        <v>26</v>
      </c>
      <c r="E393" t="s">
        <v>49</v>
      </c>
      <c r="F393" t="s">
        <v>351</v>
      </c>
      <c r="G393">
        <v>3</v>
      </c>
      <c r="H393">
        <v>2800</v>
      </c>
      <c r="I393">
        <v>5</v>
      </c>
      <c r="J393" t="s">
        <v>55</v>
      </c>
      <c r="K393" t="s">
        <v>36</v>
      </c>
    </row>
    <row r="394" spans="1:11" x14ac:dyDescent="0.3">
      <c r="A394" t="s">
        <v>640</v>
      </c>
      <c r="B394" t="s">
        <v>130</v>
      </c>
      <c r="C394" t="s">
        <v>117</v>
      </c>
      <c r="D394" t="s">
        <v>14</v>
      </c>
      <c r="E394" t="s">
        <v>27</v>
      </c>
      <c r="F394" t="s">
        <v>28</v>
      </c>
      <c r="G394">
        <v>5</v>
      </c>
      <c r="H394">
        <v>500</v>
      </c>
      <c r="I394">
        <v>10</v>
      </c>
      <c r="J394" t="s">
        <v>55</v>
      </c>
      <c r="K394" t="s">
        <v>36</v>
      </c>
    </row>
    <row r="395" spans="1:11" x14ac:dyDescent="0.3">
      <c r="A395" t="s">
        <v>641</v>
      </c>
      <c r="B395" t="s">
        <v>460</v>
      </c>
      <c r="C395" t="s">
        <v>88</v>
      </c>
      <c r="D395" t="s">
        <v>40</v>
      </c>
      <c r="E395" t="s">
        <v>65</v>
      </c>
      <c r="F395" t="s">
        <v>106</v>
      </c>
      <c r="G395">
        <v>2</v>
      </c>
      <c r="H395">
        <v>750</v>
      </c>
      <c r="I395">
        <v>10</v>
      </c>
      <c r="J395" t="s">
        <v>51</v>
      </c>
      <c r="K395" t="s">
        <v>22</v>
      </c>
    </row>
    <row r="396" spans="1:11" x14ac:dyDescent="0.3">
      <c r="A396" t="s">
        <v>642</v>
      </c>
      <c r="B396" t="s">
        <v>327</v>
      </c>
      <c r="C396" t="s">
        <v>220</v>
      </c>
      <c r="D396" t="s">
        <v>26</v>
      </c>
      <c r="E396" t="s">
        <v>15</v>
      </c>
      <c r="F396" t="s">
        <v>78</v>
      </c>
      <c r="G396">
        <v>2</v>
      </c>
      <c r="H396">
        <v>900</v>
      </c>
      <c r="I396">
        <v>5</v>
      </c>
      <c r="J396" t="s">
        <v>17</v>
      </c>
      <c r="K396" t="s">
        <v>30</v>
      </c>
    </row>
    <row r="397" spans="1:11" x14ac:dyDescent="0.3">
      <c r="A397" t="s">
        <v>643</v>
      </c>
      <c r="B397" t="s">
        <v>168</v>
      </c>
      <c r="C397" t="s">
        <v>117</v>
      </c>
      <c r="D397" t="s">
        <v>72</v>
      </c>
      <c r="E397" t="s">
        <v>34</v>
      </c>
      <c r="F397" t="s">
        <v>100</v>
      </c>
      <c r="G397">
        <v>4</v>
      </c>
      <c r="H397">
        <v>1200</v>
      </c>
      <c r="I397">
        <v>15</v>
      </c>
      <c r="J397" t="s">
        <v>55</v>
      </c>
      <c r="K397" t="s">
        <v>18</v>
      </c>
    </row>
    <row r="398" spans="1:11" x14ac:dyDescent="0.3">
      <c r="A398" t="s">
        <v>644</v>
      </c>
      <c r="B398" t="s">
        <v>161</v>
      </c>
      <c r="C398" t="s">
        <v>99</v>
      </c>
      <c r="D398" t="s">
        <v>72</v>
      </c>
      <c r="E398" t="s">
        <v>65</v>
      </c>
      <c r="F398" t="s">
        <v>66</v>
      </c>
      <c r="G398">
        <v>1</v>
      </c>
      <c r="H398">
        <v>850</v>
      </c>
      <c r="I398">
        <v>15</v>
      </c>
      <c r="J398" t="s">
        <v>55</v>
      </c>
      <c r="K398" t="s">
        <v>22</v>
      </c>
    </row>
    <row r="399" spans="1:11" x14ac:dyDescent="0.3">
      <c r="A399" t="s">
        <v>645</v>
      </c>
      <c r="B399" t="s">
        <v>646</v>
      </c>
      <c r="C399" t="s">
        <v>122</v>
      </c>
      <c r="D399" t="s">
        <v>40</v>
      </c>
      <c r="E399" t="s">
        <v>65</v>
      </c>
      <c r="F399" t="s">
        <v>85</v>
      </c>
      <c r="G399">
        <v>3</v>
      </c>
      <c r="H399">
        <v>650</v>
      </c>
      <c r="I399">
        <v>10</v>
      </c>
      <c r="J399" t="s">
        <v>17</v>
      </c>
      <c r="K399" t="s">
        <v>36</v>
      </c>
    </row>
    <row r="400" spans="1:11" x14ac:dyDescent="0.3">
      <c r="A400" t="s">
        <v>647</v>
      </c>
      <c r="B400" t="s">
        <v>347</v>
      </c>
      <c r="C400" t="s">
        <v>71</v>
      </c>
      <c r="D400" t="s">
        <v>40</v>
      </c>
      <c r="E400" t="s">
        <v>34</v>
      </c>
      <c r="F400" t="s">
        <v>35</v>
      </c>
      <c r="G400">
        <v>5</v>
      </c>
      <c r="H400">
        <v>3500</v>
      </c>
      <c r="I400">
        <v>0</v>
      </c>
      <c r="J400" t="s">
        <v>51</v>
      </c>
      <c r="K400" t="s">
        <v>18</v>
      </c>
    </row>
    <row r="401" spans="1:11" x14ac:dyDescent="0.3">
      <c r="A401" t="s">
        <v>648</v>
      </c>
      <c r="B401" t="s">
        <v>178</v>
      </c>
      <c r="C401" t="s">
        <v>71</v>
      </c>
      <c r="D401" t="s">
        <v>72</v>
      </c>
      <c r="E401" t="s">
        <v>15</v>
      </c>
      <c r="F401" t="s">
        <v>146</v>
      </c>
      <c r="G401">
        <v>2</v>
      </c>
      <c r="H401">
        <v>2500</v>
      </c>
      <c r="I401">
        <v>0</v>
      </c>
      <c r="J401" t="s">
        <v>17</v>
      </c>
      <c r="K401" t="s">
        <v>30</v>
      </c>
    </row>
    <row r="402" spans="1:11" x14ac:dyDescent="0.3">
      <c r="A402" t="s">
        <v>649</v>
      </c>
      <c r="B402" t="s">
        <v>256</v>
      </c>
      <c r="C402" t="s">
        <v>133</v>
      </c>
      <c r="D402" t="s">
        <v>26</v>
      </c>
      <c r="E402" t="s">
        <v>49</v>
      </c>
      <c r="F402" t="s">
        <v>157</v>
      </c>
      <c r="G402">
        <v>3</v>
      </c>
      <c r="H402">
        <v>1800</v>
      </c>
      <c r="I402">
        <v>10</v>
      </c>
      <c r="J402" t="s">
        <v>55</v>
      </c>
      <c r="K402" t="s">
        <v>36</v>
      </c>
    </row>
    <row r="403" spans="1:11" x14ac:dyDescent="0.3">
      <c r="A403" t="s">
        <v>650</v>
      </c>
      <c r="B403" t="s">
        <v>651</v>
      </c>
      <c r="C403" t="s">
        <v>99</v>
      </c>
      <c r="D403" t="s">
        <v>72</v>
      </c>
      <c r="E403" t="s">
        <v>15</v>
      </c>
      <c r="F403" t="s">
        <v>146</v>
      </c>
      <c r="G403">
        <v>2</v>
      </c>
      <c r="H403">
        <v>2500</v>
      </c>
      <c r="I403">
        <v>0</v>
      </c>
      <c r="J403" t="s">
        <v>51</v>
      </c>
      <c r="K403" t="s">
        <v>36</v>
      </c>
    </row>
    <row r="404" spans="1:11" x14ac:dyDescent="0.3">
      <c r="A404" t="s">
        <v>652</v>
      </c>
      <c r="B404" t="s">
        <v>43</v>
      </c>
      <c r="C404" t="s">
        <v>44</v>
      </c>
      <c r="D404" t="s">
        <v>72</v>
      </c>
      <c r="E404" t="s">
        <v>65</v>
      </c>
      <c r="F404" t="s">
        <v>85</v>
      </c>
      <c r="G404">
        <v>2</v>
      </c>
      <c r="H404">
        <v>650</v>
      </c>
      <c r="I404">
        <v>0</v>
      </c>
      <c r="J404" t="s">
        <v>17</v>
      </c>
      <c r="K404" t="s">
        <v>22</v>
      </c>
    </row>
    <row r="405" spans="1:11" x14ac:dyDescent="0.3">
      <c r="A405" t="s">
        <v>653</v>
      </c>
      <c r="B405" t="s">
        <v>47</v>
      </c>
      <c r="C405" t="s">
        <v>196</v>
      </c>
      <c r="D405" t="s">
        <v>40</v>
      </c>
      <c r="E405" t="s">
        <v>49</v>
      </c>
      <c r="F405" t="s">
        <v>50</v>
      </c>
      <c r="G405">
        <v>3</v>
      </c>
      <c r="H405">
        <v>2200</v>
      </c>
      <c r="I405">
        <v>15</v>
      </c>
      <c r="J405" t="s">
        <v>29</v>
      </c>
      <c r="K405" t="s">
        <v>18</v>
      </c>
    </row>
    <row r="406" spans="1:11" x14ac:dyDescent="0.3">
      <c r="A406" t="s">
        <v>654</v>
      </c>
      <c r="B406" t="s">
        <v>430</v>
      </c>
      <c r="C406" t="s">
        <v>99</v>
      </c>
      <c r="D406" t="s">
        <v>72</v>
      </c>
      <c r="E406" t="s">
        <v>34</v>
      </c>
      <c r="F406" t="s">
        <v>100</v>
      </c>
      <c r="G406">
        <v>2</v>
      </c>
      <c r="H406">
        <v>1200</v>
      </c>
      <c r="I406">
        <v>10</v>
      </c>
      <c r="K406" t="s">
        <v>30</v>
      </c>
    </row>
    <row r="407" spans="1:11" x14ac:dyDescent="0.3">
      <c r="A407" t="s">
        <v>655</v>
      </c>
      <c r="B407" t="s">
        <v>551</v>
      </c>
      <c r="C407" t="s">
        <v>39</v>
      </c>
      <c r="D407" t="s">
        <v>72</v>
      </c>
      <c r="E407" t="s">
        <v>49</v>
      </c>
      <c r="F407" t="s">
        <v>58</v>
      </c>
      <c r="G407">
        <v>4</v>
      </c>
      <c r="H407">
        <v>3200</v>
      </c>
      <c r="I407">
        <v>10</v>
      </c>
      <c r="J407" t="s">
        <v>55</v>
      </c>
      <c r="K407" t="s">
        <v>30</v>
      </c>
    </row>
    <row r="408" spans="1:11" x14ac:dyDescent="0.3">
      <c r="A408" t="s">
        <v>656</v>
      </c>
      <c r="B408" t="s">
        <v>657</v>
      </c>
      <c r="C408" t="s">
        <v>33</v>
      </c>
      <c r="D408" t="s">
        <v>40</v>
      </c>
      <c r="E408" t="s">
        <v>27</v>
      </c>
      <c r="F408" t="s">
        <v>89</v>
      </c>
      <c r="G408">
        <v>1</v>
      </c>
      <c r="H408">
        <v>450</v>
      </c>
      <c r="I408">
        <v>10</v>
      </c>
      <c r="J408" t="s">
        <v>29</v>
      </c>
      <c r="K408" t="s">
        <v>22</v>
      </c>
    </row>
    <row r="409" spans="1:11" x14ac:dyDescent="0.3">
      <c r="A409" t="s">
        <v>658</v>
      </c>
      <c r="B409" t="s">
        <v>204</v>
      </c>
      <c r="C409" t="s">
        <v>44</v>
      </c>
      <c r="D409" t="s">
        <v>72</v>
      </c>
      <c r="E409" t="s">
        <v>27</v>
      </c>
      <c r="F409" t="s">
        <v>89</v>
      </c>
      <c r="G409">
        <v>5</v>
      </c>
      <c r="H409">
        <v>450</v>
      </c>
      <c r="I409">
        <v>15</v>
      </c>
      <c r="J409" t="s">
        <v>55</v>
      </c>
      <c r="K409" t="s">
        <v>18</v>
      </c>
    </row>
    <row r="410" spans="1:11" x14ac:dyDescent="0.3">
      <c r="A410" t="s">
        <v>659</v>
      </c>
      <c r="B410" t="s">
        <v>353</v>
      </c>
      <c r="C410" t="s">
        <v>95</v>
      </c>
      <c r="D410" t="s">
        <v>40</v>
      </c>
      <c r="E410" t="s">
        <v>34</v>
      </c>
      <c r="F410" t="s">
        <v>100</v>
      </c>
      <c r="G410">
        <v>5</v>
      </c>
      <c r="H410">
        <v>1200</v>
      </c>
      <c r="I410">
        <v>20</v>
      </c>
      <c r="J410" t="s">
        <v>55</v>
      </c>
      <c r="K410" t="s">
        <v>36</v>
      </c>
    </row>
    <row r="411" spans="1:11" x14ac:dyDescent="0.3">
      <c r="A411" t="s">
        <v>660</v>
      </c>
      <c r="B411" t="s">
        <v>91</v>
      </c>
      <c r="C411" t="s">
        <v>21</v>
      </c>
      <c r="D411" t="s">
        <v>14</v>
      </c>
      <c r="E411" t="s">
        <v>65</v>
      </c>
      <c r="F411" t="s">
        <v>106</v>
      </c>
      <c r="G411">
        <v>2</v>
      </c>
      <c r="H411">
        <v>750</v>
      </c>
      <c r="I411">
        <v>0</v>
      </c>
      <c r="J411" t="s">
        <v>29</v>
      </c>
      <c r="K411" t="s">
        <v>36</v>
      </c>
    </row>
    <row r="412" spans="1:11" x14ac:dyDescent="0.3">
      <c r="A412" t="s">
        <v>661</v>
      </c>
      <c r="B412" t="s">
        <v>70</v>
      </c>
      <c r="C412" t="s">
        <v>105</v>
      </c>
      <c r="D412" t="s">
        <v>26</v>
      </c>
      <c r="E412" t="s">
        <v>65</v>
      </c>
      <c r="F412" t="s">
        <v>106</v>
      </c>
      <c r="G412">
        <v>3</v>
      </c>
      <c r="H412">
        <v>750</v>
      </c>
      <c r="I412">
        <v>0</v>
      </c>
      <c r="J412" t="s">
        <v>17</v>
      </c>
      <c r="K412" t="s">
        <v>18</v>
      </c>
    </row>
    <row r="413" spans="1:11" x14ac:dyDescent="0.3">
      <c r="A413" t="s">
        <v>662</v>
      </c>
      <c r="B413" t="s">
        <v>150</v>
      </c>
      <c r="C413" t="s">
        <v>179</v>
      </c>
      <c r="D413" t="s">
        <v>26</v>
      </c>
      <c r="E413" t="s">
        <v>27</v>
      </c>
      <c r="F413" t="s">
        <v>28</v>
      </c>
      <c r="G413">
        <v>5</v>
      </c>
      <c r="H413">
        <v>500</v>
      </c>
      <c r="I413">
        <v>15</v>
      </c>
      <c r="J413" t="s">
        <v>17</v>
      </c>
      <c r="K413" t="s">
        <v>18</v>
      </c>
    </row>
    <row r="414" spans="1:11" x14ac:dyDescent="0.3">
      <c r="A414" t="s">
        <v>663</v>
      </c>
      <c r="B414" t="s">
        <v>657</v>
      </c>
      <c r="C414" t="s">
        <v>105</v>
      </c>
      <c r="D414" t="s">
        <v>40</v>
      </c>
      <c r="E414" t="s">
        <v>15</v>
      </c>
      <c r="F414" t="s">
        <v>146</v>
      </c>
      <c r="G414">
        <v>1</v>
      </c>
      <c r="H414">
        <v>2500</v>
      </c>
      <c r="I414">
        <v>20</v>
      </c>
      <c r="J414" t="s">
        <v>17</v>
      </c>
      <c r="K414" t="s">
        <v>30</v>
      </c>
    </row>
    <row r="415" spans="1:11" x14ac:dyDescent="0.3">
      <c r="A415" t="s">
        <v>664</v>
      </c>
      <c r="B415" t="s">
        <v>334</v>
      </c>
      <c r="C415" t="s">
        <v>39</v>
      </c>
      <c r="D415" t="s">
        <v>72</v>
      </c>
      <c r="E415" t="s">
        <v>27</v>
      </c>
      <c r="F415" t="s">
        <v>171</v>
      </c>
      <c r="G415">
        <v>4</v>
      </c>
      <c r="H415">
        <v>550</v>
      </c>
      <c r="I415">
        <v>20</v>
      </c>
      <c r="J415" t="s">
        <v>29</v>
      </c>
      <c r="K415" t="s">
        <v>36</v>
      </c>
    </row>
    <row r="416" spans="1:11" x14ac:dyDescent="0.3">
      <c r="A416" t="s">
        <v>665</v>
      </c>
      <c r="B416" t="s">
        <v>111</v>
      </c>
      <c r="C416" t="s">
        <v>105</v>
      </c>
      <c r="D416" t="s">
        <v>72</v>
      </c>
      <c r="E416" t="s">
        <v>49</v>
      </c>
      <c r="F416" t="s">
        <v>50</v>
      </c>
      <c r="G416">
        <v>1</v>
      </c>
      <c r="H416">
        <v>2200</v>
      </c>
      <c r="I416">
        <v>15</v>
      </c>
      <c r="J416" t="s">
        <v>51</v>
      </c>
      <c r="K416" t="s">
        <v>22</v>
      </c>
    </row>
    <row r="417" spans="1:11" x14ac:dyDescent="0.3">
      <c r="A417" t="s">
        <v>666</v>
      </c>
      <c r="B417" t="s">
        <v>60</v>
      </c>
      <c r="C417" t="s">
        <v>95</v>
      </c>
      <c r="D417" t="s">
        <v>26</v>
      </c>
      <c r="E417" t="s">
        <v>15</v>
      </c>
      <c r="F417" t="s">
        <v>146</v>
      </c>
      <c r="G417">
        <v>1</v>
      </c>
      <c r="H417">
        <v>2500</v>
      </c>
      <c r="I417">
        <v>10</v>
      </c>
      <c r="J417" t="s">
        <v>51</v>
      </c>
      <c r="K417" t="s">
        <v>30</v>
      </c>
    </row>
    <row r="418" spans="1:11" x14ac:dyDescent="0.3">
      <c r="A418" t="s">
        <v>667</v>
      </c>
      <c r="B418" t="s">
        <v>173</v>
      </c>
      <c r="C418" t="s">
        <v>154</v>
      </c>
      <c r="D418" t="s">
        <v>40</v>
      </c>
      <c r="E418" t="s">
        <v>34</v>
      </c>
      <c r="F418" t="s">
        <v>62</v>
      </c>
      <c r="G418">
        <v>2</v>
      </c>
      <c r="H418">
        <v>900</v>
      </c>
      <c r="I418">
        <v>5</v>
      </c>
      <c r="J418" t="s">
        <v>51</v>
      </c>
      <c r="K418" t="s">
        <v>18</v>
      </c>
    </row>
    <row r="419" spans="1:11" x14ac:dyDescent="0.3">
      <c r="A419" t="s">
        <v>668</v>
      </c>
      <c r="B419" t="s">
        <v>389</v>
      </c>
      <c r="C419" t="s">
        <v>215</v>
      </c>
      <c r="D419" t="s">
        <v>40</v>
      </c>
      <c r="E419" t="s">
        <v>34</v>
      </c>
      <c r="F419" t="s">
        <v>41</v>
      </c>
      <c r="G419">
        <v>2</v>
      </c>
      <c r="H419">
        <v>1600</v>
      </c>
      <c r="I419">
        <v>15</v>
      </c>
      <c r="J419" t="s">
        <v>55</v>
      </c>
      <c r="K419" t="s">
        <v>18</v>
      </c>
    </row>
    <row r="420" spans="1:11" x14ac:dyDescent="0.3">
      <c r="A420" t="s">
        <v>669</v>
      </c>
      <c r="B420" t="s">
        <v>385</v>
      </c>
      <c r="C420" t="s">
        <v>44</v>
      </c>
      <c r="D420" t="s">
        <v>40</v>
      </c>
      <c r="E420" t="s">
        <v>65</v>
      </c>
      <c r="F420" t="s">
        <v>92</v>
      </c>
      <c r="G420">
        <v>5</v>
      </c>
      <c r="H420">
        <v>700</v>
      </c>
      <c r="I420">
        <v>5</v>
      </c>
      <c r="J420" t="s">
        <v>17</v>
      </c>
      <c r="K420" t="s">
        <v>30</v>
      </c>
    </row>
    <row r="421" spans="1:11" x14ac:dyDescent="0.3">
      <c r="A421" t="s">
        <v>670</v>
      </c>
      <c r="B421" t="s">
        <v>191</v>
      </c>
      <c r="C421" t="s">
        <v>33</v>
      </c>
      <c r="D421" t="s">
        <v>40</v>
      </c>
      <c r="E421" t="s">
        <v>27</v>
      </c>
      <c r="F421" t="s">
        <v>28</v>
      </c>
      <c r="G421">
        <v>2</v>
      </c>
      <c r="H421">
        <v>500</v>
      </c>
      <c r="I421">
        <v>5</v>
      </c>
      <c r="J421" t="s">
        <v>55</v>
      </c>
      <c r="K421" t="s">
        <v>36</v>
      </c>
    </row>
    <row r="422" spans="1:11" x14ac:dyDescent="0.3">
      <c r="A422" t="s">
        <v>671</v>
      </c>
      <c r="B422" t="s">
        <v>121</v>
      </c>
      <c r="C422" t="s">
        <v>117</v>
      </c>
      <c r="D422" t="s">
        <v>26</v>
      </c>
      <c r="E422" t="s">
        <v>49</v>
      </c>
      <c r="F422" t="s">
        <v>182</v>
      </c>
      <c r="G422">
        <v>2</v>
      </c>
      <c r="H422">
        <v>800</v>
      </c>
      <c r="I422">
        <v>10</v>
      </c>
      <c r="J422" t="s">
        <v>51</v>
      </c>
      <c r="K422" t="s">
        <v>18</v>
      </c>
    </row>
    <row r="423" spans="1:11" x14ac:dyDescent="0.3">
      <c r="A423" t="s">
        <v>672</v>
      </c>
      <c r="B423" t="s">
        <v>293</v>
      </c>
      <c r="C423" t="s">
        <v>84</v>
      </c>
      <c r="D423" t="s">
        <v>40</v>
      </c>
      <c r="E423" t="s">
        <v>27</v>
      </c>
      <c r="F423" t="s">
        <v>28</v>
      </c>
      <c r="G423">
        <v>1</v>
      </c>
      <c r="H423">
        <v>500</v>
      </c>
      <c r="I423">
        <v>5</v>
      </c>
      <c r="J423" t="s">
        <v>51</v>
      </c>
      <c r="K423" t="s">
        <v>18</v>
      </c>
    </row>
    <row r="424" spans="1:11" x14ac:dyDescent="0.3">
      <c r="A424" t="s">
        <v>673</v>
      </c>
      <c r="B424" t="s">
        <v>156</v>
      </c>
      <c r="C424" t="s">
        <v>48</v>
      </c>
      <c r="D424" t="s">
        <v>72</v>
      </c>
      <c r="E424" t="s">
        <v>27</v>
      </c>
      <c r="F424" t="s">
        <v>28</v>
      </c>
      <c r="G424">
        <v>5</v>
      </c>
      <c r="H424">
        <v>500</v>
      </c>
      <c r="I424">
        <v>20</v>
      </c>
      <c r="J424" t="s">
        <v>51</v>
      </c>
      <c r="K424" t="s">
        <v>30</v>
      </c>
    </row>
    <row r="425" spans="1:11" x14ac:dyDescent="0.3">
      <c r="A425" t="s">
        <v>674</v>
      </c>
      <c r="B425" t="s">
        <v>222</v>
      </c>
      <c r="C425" t="s">
        <v>61</v>
      </c>
      <c r="D425" t="s">
        <v>26</v>
      </c>
      <c r="E425" t="s">
        <v>49</v>
      </c>
      <c r="F425" t="s">
        <v>50</v>
      </c>
      <c r="G425">
        <v>1</v>
      </c>
      <c r="H425">
        <v>2200</v>
      </c>
      <c r="I425">
        <v>15</v>
      </c>
      <c r="J425" t="s">
        <v>17</v>
      </c>
      <c r="K425" t="s">
        <v>22</v>
      </c>
    </row>
    <row r="426" spans="1:11" x14ac:dyDescent="0.3">
      <c r="A426" t="s">
        <v>675</v>
      </c>
      <c r="B426" t="s">
        <v>24</v>
      </c>
      <c r="C426" t="s">
        <v>249</v>
      </c>
      <c r="D426" t="s">
        <v>14</v>
      </c>
      <c r="E426" t="s">
        <v>27</v>
      </c>
      <c r="F426" t="s">
        <v>138</v>
      </c>
      <c r="G426">
        <v>2</v>
      </c>
      <c r="H426">
        <v>650</v>
      </c>
      <c r="I426">
        <v>10</v>
      </c>
      <c r="J426" t="s">
        <v>29</v>
      </c>
      <c r="K426" t="s">
        <v>36</v>
      </c>
    </row>
    <row r="427" spans="1:11" x14ac:dyDescent="0.3">
      <c r="A427" t="s">
        <v>676</v>
      </c>
      <c r="B427" t="s">
        <v>482</v>
      </c>
      <c r="C427" t="s">
        <v>249</v>
      </c>
      <c r="D427" t="s">
        <v>14</v>
      </c>
      <c r="E427" t="s">
        <v>15</v>
      </c>
      <c r="F427" t="s">
        <v>146</v>
      </c>
      <c r="G427">
        <v>5</v>
      </c>
      <c r="H427">
        <v>2500</v>
      </c>
      <c r="I427">
        <v>0</v>
      </c>
      <c r="J427" t="s">
        <v>55</v>
      </c>
      <c r="K427" t="s">
        <v>30</v>
      </c>
    </row>
    <row r="428" spans="1:11" x14ac:dyDescent="0.3">
      <c r="A428" t="s">
        <v>677</v>
      </c>
      <c r="B428" t="s">
        <v>430</v>
      </c>
      <c r="C428" t="s">
        <v>39</v>
      </c>
      <c r="D428" t="s">
        <v>72</v>
      </c>
      <c r="E428" t="s">
        <v>27</v>
      </c>
      <c r="F428" t="s">
        <v>171</v>
      </c>
      <c r="G428">
        <v>4</v>
      </c>
      <c r="H428">
        <v>550</v>
      </c>
      <c r="I428">
        <v>10</v>
      </c>
      <c r="J428" t="s">
        <v>29</v>
      </c>
      <c r="K428" t="s">
        <v>30</v>
      </c>
    </row>
    <row r="429" spans="1:11" x14ac:dyDescent="0.3">
      <c r="A429" t="s">
        <v>678</v>
      </c>
      <c r="B429" t="s">
        <v>175</v>
      </c>
      <c r="C429" t="s">
        <v>154</v>
      </c>
      <c r="D429" t="s">
        <v>72</v>
      </c>
      <c r="E429" t="s">
        <v>49</v>
      </c>
      <c r="F429" t="s">
        <v>58</v>
      </c>
      <c r="G429">
        <v>5</v>
      </c>
      <c r="H429">
        <v>3200</v>
      </c>
      <c r="I429">
        <v>0</v>
      </c>
      <c r="J429" t="s">
        <v>17</v>
      </c>
      <c r="K429" t="s">
        <v>30</v>
      </c>
    </row>
    <row r="430" spans="1:11" x14ac:dyDescent="0.3">
      <c r="A430" t="s">
        <v>679</v>
      </c>
      <c r="B430" t="s">
        <v>80</v>
      </c>
      <c r="C430" t="s">
        <v>122</v>
      </c>
      <c r="D430" t="s">
        <v>26</v>
      </c>
      <c r="E430" t="s">
        <v>27</v>
      </c>
      <c r="F430" t="s">
        <v>128</v>
      </c>
      <c r="G430">
        <v>1</v>
      </c>
      <c r="H430">
        <v>1800</v>
      </c>
      <c r="I430">
        <v>15</v>
      </c>
      <c r="J430" t="s">
        <v>17</v>
      </c>
      <c r="K430" t="s">
        <v>30</v>
      </c>
    </row>
    <row r="431" spans="1:11" x14ac:dyDescent="0.3">
      <c r="A431" t="s">
        <v>680</v>
      </c>
      <c r="B431" t="s">
        <v>12</v>
      </c>
      <c r="C431" t="s">
        <v>39</v>
      </c>
      <c r="D431" t="s">
        <v>26</v>
      </c>
      <c r="E431" t="s">
        <v>34</v>
      </c>
      <c r="F431" t="s">
        <v>41</v>
      </c>
      <c r="G431">
        <v>2</v>
      </c>
      <c r="H431">
        <v>1600</v>
      </c>
      <c r="I431">
        <v>5</v>
      </c>
      <c r="J431" t="s">
        <v>55</v>
      </c>
      <c r="K431" t="s">
        <v>36</v>
      </c>
    </row>
    <row r="432" spans="1:11" x14ac:dyDescent="0.3">
      <c r="A432" t="s">
        <v>681</v>
      </c>
      <c r="B432" t="s">
        <v>170</v>
      </c>
      <c r="C432" t="s">
        <v>179</v>
      </c>
      <c r="D432" t="s">
        <v>14</v>
      </c>
      <c r="E432" t="s">
        <v>27</v>
      </c>
      <c r="F432" t="s">
        <v>28</v>
      </c>
      <c r="G432">
        <v>1</v>
      </c>
      <c r="H432">
        <v>500</v>
      </c>
      <c r="I432">
        <v>15</v>
      </c>
      <c r="J432" t="s">
        <v>51</v>
      </c>
      <c r="K432" t="s">
        <v>30</v>
      </c>
    </row>
    <row r="433" spans="1:11" x14ac:dyDescent="0.3">
      <c r="A433" t="s">
        <v>682</v>
      </c>
      <c r="B433" t="s">
        <v>204</v>
      </c>
      <c r="C433" t="s">
        <v>88</v>
      </c>
      <c r="D433" t="s">
        <v>40</v>
      </c>
      <c r="E433" t="s">
        <v>65</v>
      </c>
      <c r="F433" t="s">
        <v>66</v>
      </c>
      <c r="G433">
        <v>5</v>
      </c>
      <c r="H433">
        <v>850</v>
      </c>
      <c r="I433">
        <v>20</v>
      </c>
      <c r="J433" t="s">
        <v>55</v>
      </c>
      <c r="K433" t="s">
        <v>30</v>
      </c>
    </row>
    <row r="434" spans="1:11" x14ac:dyDescent="0.3">
      <c r="A434" t="s">
        <v>683</v>
      </c>
      <c r="B434" t="s">
        <v>684</v>
      </c>
      <c r="C434" t="s">
        <v>159</v>
      </c>
      <c r="D434" t="s">
        <v>72</v>
      </c>
      <c r="E434" t="s">
        <v>49</v>
      </c>
      <c r="F434" t="s">
        <v>351</v>
      </c>
      <c r="G434">
        <v>3</v>
      </c>
      <c r="H434">
        <v>2800</v>
      </c>
      <c r="I434">
        <v>20</v>
      </c>
      <c r="J434" t="s">
        <v>51</v>
      </c>
      <c r="K434" t="s">
        <v>22</v>
      </c>
    </row>
    <row r="435" spans="1:11" x14ac:dyDescent="0.3">
      <c r="A435" t="s">
        <v>685</v>
      </c>
      <c r="B435" t="s">
        <v>43</v>
      </c>
      <c r="C435" t="s">
        <v>142</v>
      </c>
      <c r="D435" t="s">
        <v>72</v>
      </c>
      <c r="E435" t="s">
        <v>27</v>
      </c>
      <c r="F435" t="s">
        <v>138</v>
      </c>
      <c r="G435">
        <v>2</v>
      </c>
      <c r="H435">
        <v>650</v>
      </c>
      <c r="I435">
        <v>10</v>
      </c>
      <c r="J435" t="s">
        <v>55</v>
      </c>
      <c r="K435" t="s">
        <v>30</v>
      </c>
    </row>
    <row r="436" spans="1:11" x14ac:dyDescent="0.3">
      <c r="A436" t="s">
        <v>686</v>
      </c>
      <c r="B436" t="s">
        <v>340</v>
      </c>
      <c r="C436" t="s">
        <v>13</v>
      </c>
      <c r="D436" t="s">
        <v>26</v>
      </c>
      <c r="E436" t="s">
        <v>15</v>
      </c>
      <c r="F436" t="s">
        <v>73</v>
      </c>
      <c r="G436">
        <v>4</v>
      </c>
      <c r="H436">
        <v>2200</v>
      </c>
      <c r="I436">
        <v>10</v>
      </c>
      <c r="J436" t="s">
        <v>51</v>
      </c>
      <c r="K436" t="s">
        <v>30</v>
      </c>
    </row>
    <row r="437" spans="1:11" x14ac:dyDescent="0.3">
      <c r="A437" t="s">
        <v>687</v>
      </c>
      <c r="B437" t="s">
        <v>209</v>
      </c>
      <c r="C437" t="s">
        <v>48</v>
      </c>
      <c r="D437" t="s">
        <v>40</v>
      </c>
      <c r="E437" t="s">
        <v>27</v>
      </c>
      <c r="F437" t="s">
        <v>171</v>
      </c>
      <c r="G437">
        <v>4</v>
      </c>
      <c r="H437">
        <v>550</v>
      </c>
      <c r="I437">
        <v>0</v>
      </c>
      <c r="J437" t="s">
        <v>17</v>
      </c>
      <c r="K437" t="s">
        <v>18</v>
      </c>
    </row>
    <row r="438" spans="1:11" x14ac:dyDescent="0.3">
      <c r="A438" t="s">
        <v>688</v>
      </c>
      <c r="B438" t="s">
        <v>240</v>
      </c>
      <c r="C438" t="s">
        <v>48</v>
      </c>
      <c r="D438" t="s">
        <v>72</v>
      </c>
      <c r="E438" t="s">
        <v>49</v>
      </c>
      <c r="F438" t="s">
        <v>351</v>
      </c>
      <c r="G438">
        <v>5</v>
      </c>
      <c r="H438">
        <v>2800</v>
      </c>
      <c r="I438">
        <v>10</v>
      </c>
      <c r="J438" t="s">
        <v>29</v>
      </c>
      <c r="K438" t="s">
        <v>36</v>
      </c>
    </row>
    <row r="439" spans="1:11" x14ac:dyDescent="0.3">
      <c r="A439" t="s">
        <v>689</v>
      </c>
      <c r="B439" t="s">
        <v>305</v>
      </c>
      <c r="C439" t="s">
        <v>179</v>
      </c>
      <c r="D439" t="s">
        <v>72</v>
      </c>
      <c r="E439" t="s">
        <v>49</v>
      </c>
      <c r="F439" t="s">
        <v>157</v>
      </c>
      <c r="G439">
        <v>5</v>
      </c>
      <c r="H439">
        <v>1800</v>
      </c>
      <c r="I439">
        <v>15</v>
      </c>
      <c r="J439" t="s">
        <v>55</v>
      </c>
      <c r="K439" t="s">
        <v>30</v>
      </c>
    </row>
    <row r="440" spans="1:11" x14ac:dyDescent="0.3">
      <c r="A440" t="s">
        <v>690</v>
      </c>
      <c r="B440" t="s">
        <v>563</v>
      </c>
      <c r="C440" t="s">
        <v>179</v>
      </c>
      <c r="D440" t="s">
        <v>14</v>
      </c>
      <c r="E440" t="s">
        <v>49</v>
      </c>
      <c r="F440" t="s">
        <v>182</v>
      </c>
      <c r="G440">
        <v>3</v>
      </c>
      <c r="H440">
        <v>800</v>
      </c>
      <c r="I440">
        <v>0</v>
      </c>
      <c r="J440" t="s">
        <v>17</v>
      </c>
      <c r="K440" t="s">
        <v>18</v>
      </c>
    </row>
    <row r="441" spans="1:11" x14ac:dyDescent="0.3">
      <c r="A441" t="s">
        <v>691</v>
      </c>
      <c r="B441" t="s">
        <v>571</v>
      </c>
      <c r="C441" t="s">
        <v>125</v>
      </c>
      <c r="D441" t="s">
        <v>14</v>
      </c>
      <c r="E441" t="s">
        <v>34</v>
      </c>
      <c r="F441" t="s">
        <v>35</v>
      </c>
      <c r="G441">
        <v>4</v>
      </c>
      <c r="H441">
        <v>3500</v>
      </c>
      <c r="I441">
        <v>0</v>
      </c>
      <c r="J441" t="s">
        <v>55</v>
      </c>
      <c r="K441" t="s">
        <v>18</v>
      </c>
    </row>
    <row r="442" spans="1:11" x14ac:dyDescent="0.3">
      <c r="A442" t="s">
        <v>692</v>
      </c>
      <c r="B442" t="s">
        <v>193</v>
      </c>
      <c r="C442" t="s">
        <v>196</v>
      </c>
      <c r="D442" t="s">
        <v>72</v>
      </c>
      <c r="E442" t="s">
        <v>65</v>
      </c>
      <c r="F442" t="s">
        <v>66</v>
      </c>
      <c r="G442">
        <v>1</v>
      </c>
      <c r="H442">
        <v>850</v>
      </c>
      <c r="I442">
        <v>0</v>
      </c>
      <c r="J442" t="s">
        <v>55</v>
      </c>
      <c r="K442" t="s">
        <v>30</v>
      </c>
    </row>
    <row r="443" spans="1:11" x14ac:dyDescent="0.3">
      <c r="A443" t="s">
        <v>693</v>
      </c>
      <c r="B443" t="s">
        <v>75</v>
      </c>
      <c r="C443" t="s">
        <v>21</v>
      </c>
      <c r="D443" t="s">
        <v>40</v>
      </c>
      <c r="E443" t="s">
        <v>15</v>
      </c>
      <c r="F443" t="s">
        <v>78</v>
      </c>
      <c r="G443">
        <v>1</v>
      </c>
      <c r="H443">
        <v>900</v>
      </c>
      <c r="I443">
        <v>5</v>
      </c>
      <c r="J443" t="s">
        <v>55</v>
      </c>
      <c r="K443" t="s">
        <v>30</v>
      </c>
    </row>
    <row r="444" spans="1:11" x14ac:dyDescent="0.3">
      <c r="A444" t="s">
        <v>694</v>
      </c>
      <c r="B444" t="s">
        <v>244</v>
      </c>
      <c r="C444" t="s">
        <v>176</v>
      </c>
      <c r="D444" t="s">
        <v>26</v>
      </c>
      <c r="E444" t="s">
        <v>34</v>
      </c>
      <c r="F444" t="s">
        <v>35</v>
      </c>
      <c r="G444">
        <v>2</v>
      </c>
      <c r="H444">
        <v>3500</v>
      </c>
      <c r="I444">
        <v>0</v>
      </c>
      <c r="J444" t="s">
        <v>17</v>
      </c>
      <c r="K444" t="s">
        <v>30</v>
      </c>
    </row>
    <row r="445" spans="1:11" x14ac:dyDescent="0.3">
      <c r="A445" t="s">
        <v>695</v>
      </c>
      <c r="B445" t="s">
        <v>195</v>
      </c>
      <c r="C445" t="s">
        <v>215</v>
      </c>
      <c r="D445" t="s">
        <v>26</v>
      </c>
      <c r="E445" t="s">
        <v>34</v>
      </c>
      <c r="F445" t="s">
        <v>62</v>
      </c>
      <c r="G445">
        <v>4</v>
      </c>
      <c r="H445">
        <v>900</v>
      </c>
      <c r="I445">
        <v>5</v>
      </c>
      <c r="J445" t="s">
        <v>51</v>
      </c>
      <c r="K445" t="s">
        <v>18</v>
      </c>
    </row>
    <row r="446" spans="1:11" x14ac:dyDescent="0.3">
      <c r="A446" t="s">
        <v>696</v>
      </c>
      <c r="B446" t="s">
        <v>91</v>
      </c>
      <c r="C446" t="s">
        <v>84</v>
      </c>
      <c r="D446" t="s">
        <v>72</v>
      </c>
      <c r="E446" t="s">
        <v>34</v>
      </c>
      <c r="F446" t="s">
        <v>35</v>
      </c>
      <c r="G446">
        <v>1</v>
      </c>
      <c r="H446">
        <v>3500</v>
      </c>
      <c r="I446">
        <v>5</v>
      </c>
      <c r="J446" t="s">
        <v>55</v>
      </c>
      <c r="K446" t="s">
        <v>22</v>
      </c>
    </row>
    <row r="447" spans="1:11" x14ac:dyDescent="0.3">
      <c r="A447" t="s">
        <v>697</v>
      </c>
      <c r="B447" t="s">
        <v>98</v>
      </c>
      <c r="C447" t="s">
        <v>166</v>
      </c>
      <c r="D447" t="s">
        <v>14</v>
      </c>
      <c r="E447" t="s">
        <v>49</v>
      </c>
      <c r="F447" t="s">
        <v>182</v>
      </c>
      <c r="G447">
        <v>1</v>
      </c>
      <c r="H447">
        <v>800</v>
      </c>
      <c r="I447">
        <v>10</v>
      </c>
      <c r="J447" t="s">
        <v>17</v>
      </c>
      <c r="K447" t="s">
        <v>18</v>
      </c>
    </row>
    <row r="448" spans="1:11" x14ac:dyDescent="0.3">
      <c r="A448" t="s">
        <v>698</v>
      </c>
      <c r="B448" t="s">
        <v>207</v>
      </c>
      <c r="C448" t="s">
        <v>117</v>
      </c>
      <c r="D448" t="s">
        <v>40</v>
      </c>
      <c r="E448" t="s">
        <v>34</v>
      </c>
      <c r="F448" t="s">
        <v>81</v>
      </c>
      <c r="G448">
        <v>1</v>
      </c>
      <c r="H448">
        <v>700</v>
      </c>
      <c r="I448">
        <v>0</v>
      </c>
      <c r="J448" t="s">
        <v>17</v>
      </c>
      <c r="K448" t="s">
        <v>36</v>
      </c>
    </row>
    <row r="449" spans="1:11" x14ac:dyDescent="0.3">
      <c r="A449" t="s">
        <v>699</v>
      </c>
      <c r="B449" t="s">
        <v>57</v>
      </c>
      <c r="C449" t="s">
        <v>142</v>
      </c>
      <c r="D449" t="s">
        <v>26</v>
      </c>
      <c r="E449" t="s">
        <v>65</v>
      </c>
      <c r="F449" t="s">
        <v>66</v>
      </c>
      <c r="G449">
        <v>4</v>
      </c>
      <c r="H449">
        <v>850</v>
      </c>
      <c r="I449">
        <v>5</v>
      </c>
      <c r="J449" t="s">
        <v>55</v>
      </c>
      <c r="K449" t="s">
        <v>36</v>
      </c>
    </row>
    <row r="450" spans="1:11" x14ac:dyDescent="0.3">
      <c r="A450" t="s">
        <v>700</v>
      </c>
      <c r="B450" t="s">
        <v>170</v>
      </c>
      <c r="C450" t="s">
        <v>142</v>
      </c>
      <c r="D450" t="s">
        <v>26</v>
      </c>
      <c r="E450" t="s">
        <v>34</v>
      </c>
      <c r="F450" t="s">
        <v>62</v>
      </c>
      <c r="G450">
        <v>5</v>
      </c>
      <c r="H450">
        <v>900</v>
      </c>
      <c r="I450">
        <v>20</v>
      </c>
      <c r="J450" t="s">
        <v>55</v>
      </c>
      <c r="K450" t="s">
        <v>18</v>
      </c>
    </row>
    <row r="451" spans="1:11" x14ac:dyDescent="0.3">
      <c r="A451" t="s">
        <v>701</v>
      </c>
      <c r="B451" t="s">
        <v>535</v>
      </c>
      <c r="C451" t="s">
        <v>142</v>
      </c>
      <c r="D451" t="s">
        <v>26</v>
      </c>
      <c r="E451" t="s">
        <v>15</v>
      </c>
      <c r="F451" t="s">
        <v>45</v>
      </c>
      <c r="G451">
        <v>1</v>
      </c>
      <c r="H451">
        <v>4500</v>
      </c>
      <c r="I451">
        <v>0</v>
      </c>
      <c r="J451" t="s">
        <v>29</v>
      </c>
      <c r="K451" t="s">
        <v>22</v>
      </c>
    </row>
    <row r="452" spans="1:11" x14ac:dyDescent="0.3">
      <c r="A452" t="s">
        <v>702</v>
      </c>
      <c r="B452" t="s">
        <v>141</v>
      </c>
      <c r="C452" t="s">
        <v>44</v>
      </c>
      <c r="D452" t="s">
        <v>14</v>
      </c>
      <c r="E452" t="s">
        <v>27</v>
      </c>
      <c r="F452" t="s">
        <v>138</v>
      </c>
      <c r="G452">
        <v>3</v>
      </c>
      <c r="H452">
        <v>650</v>
      </c>
      <c r="I452">
        <v>15</v>
      </c>
      <c r="J452" t="s">
        <v>51</v>
      </c>
      <c r="K452" t="s">
        <v>22</v>
      </c>
    </row>
    <row r="453" spans="1:11" x14ac:dyDescent="0.3">
      <c r="A453" t="s">
        <v>703</v>
      </c>
      <c r="B453" t="s">
        <v>280</v>
      </c>
      <c r="C453" t="s">
        <v>84</v>
      </c>
      <c r="D453" t="s">
        <v>14</v>
      </c>
      <c r="E453" t="s">
        <v>15</v>
      </c>
      <c r="F453" t="s">
        <v>45</v>
      </c>
      <c r="G453">
        <v>4</v>
      </c>
      <c r="H453">
        <v>4500</v>
      </c>
      <c r="I453">
        <v>10</v>
      </c>
      <c r="J453" t="s">
        <v>55</v>
      </c>
      <c r="K453" t="s">
        <v>36</v>
      </c>
    </row>
    <row r="454" spans="1:11" x14ac:dyDescent="0.3">
      <c r="A454" t="s">
        <v>704</v>
      </c>
      <c r="B454" t="s">
        <v>83</v>
      </c>
      <c r="C454" t="s">
        <v>44</v>
      </c>
      <c r="D454" t="s">
        <v>72</v>
      </c>
      <c r="E454" t="s">
        <v>15</v>
      </c>
      <c r="F454" t="s">
        <v>16</v>
      </c>
      <c r="G454">
        <v>2</v>
      </c>
      <c r="H454">
        <v>1500</v>
      </c>
      <c r="I454">
        <v>0</v>
      </c>
      <c r="J454" t="s">
        <v>17</v>
      </c>
      <c r="K454" t="s">
        <v>36</v>
      </c>
    </row>
    <row r="455" spans="1:11" x14ac:dyDescent="0.3">
      <c r="A455" t="s">
        <v>705</v>
      </c>
      <c r="B455" t="s">
        <v>121</v>
      </c>
      <c r="C455" t="s">
        <v>122</v>
      </c>
      <c r="D455" t="s">
        <v>26</v>
      </c>
      <c r="E455" t="s">
        <v>34</v>
      </c>
      <c r="F455" t="s">
        <v>35</v>
      </c>
      <c r="G455">
        <v>4</v>
      </c>
      <c r="H455">
        <v>3500</v>
      </c>
      <c r="I455">
        <v>0</v>
      </c>
      <c r="J455" t="s">
        <v>17</v>
      </c>
      <c r="K455" t="s">
        <v>22</v>
      </c>
    </row>
    <row r="456" spans="1:11" x14ac:dyDescent="0.3">
      <c r="A456" t="s">
        <v>706</v>
      </c>
      <c r="B456" t="s">
        <v>68</v>
      </c>
      <c r="C456" t="s">
        <v>159</v>
      </c>
      <c r="D456" t="s">
        <v>26</v>
      </c>
      <c r="E456" t="s">
        <v>15</v>
      </c>
      <c r="F456" t="s">
        <v>78</v>
      </c>
      <c r="G456">
        <v>4</v>
      </c>
      <c r="H456">
        <v>900</v>
      </c>
      <c r="I456">
        <v>0</v>
      </c>
      <c r="J456" t="s">
        <v>17</v>
      </c>
      <c r="K456" t="s">
        <v>36</v>
      </c>
    </row>
    <row r="457" spans="1:11" x14ac:dyDescent="0.3">
      <c r="A457" t="s">
        <v>707</v>
      </c>
      <c r="B457" t="s">
        <v>170</v>
      </c>
      <c r="C457" t="s">
        <v>249</v>
      </c>
      <c r="D457" t="s">
        <v>14</v>
      </c>
      <c r="E457" t="s">
        <v>15</v>
      </c>
      <c r="F457" t="s">
        <v>73</v>
      </c>
      <c r="G457">
        <v>3</v>
      </c>
      <c r="H457">
        <v>2200</v>
      </c>
      <c r="I457">
        <v>10</v>
      </c>
      <c r="J457" t="s">
        <v>29</v>
      </c>
      <c r="K457" t="s">
        <v>30</v>
      </c>
    </row>
    <row r="458" spans="1:11" x14ac:dyDescent="0.3">
      <c r="A458" t="s">
        <v>708</v>
      </c>
      <c r="B458" t="s">
        <v>144</v>
      </c>
      <c r="C458" t="s">
        <v>71</v>
      </c>
      <c r="D458" t="s">
        <v>40</v>
      </c>
      <c r="E458" t="s">
        <v>15</v>
      </c>
      <c r="F458" t="s">
        <v>78</v>
      </c>
      <c r="G458">
        <v>4</v>
      </c>
      <c r="H458">
        <v>900</v>
      </c>
      <c r="I458">
        <v>15</v>
      </c>
      <c r="J458" t="s">
        <v>29</v>
      </c>
      <c r="K458" t="s">
        <v>30</v>
      </c>
    </row>
    <row r="459" spans="1:11" x14ac:dyDescent="0.3">
      <c r="A459" t="s">
        <v>709</v>
      </c>
      <c r="B459" t="s">
        <v>202</v>
      </c>
      <c r="C459" t="s">
        <v>249</v>
      </c>
      <c r="D459" t="s">
        <v>14</v>
      </c>
      <c r="E459" t="s">
        <v>65</v>
      </c>
      <c r="F459" t="s">
        <v>66</v>
      </c>
      <c r="G459">
        <v>1</v>
      </c>
      <c r="H459">
        <v>850</v>
      </c>
      <c r="I459">
        <v>5</v>
      </c>
      <c r="J459" t="s">
        <v>17</v>
      </c>
      <c r="K459" t="s">
        <v>22</v>
      </c>
    </row>
    <row r="460" spans="1:11" x14ac:dyDescent="0.3">
      <c r="A460" t="s">
        <v>710</v>
      </c>
      <c r="B460" t="s">
        <v>711</v>
      </c>
      <c r="C460" t="s">
        <v>196</v>
      </c>
      <c r="D460" t="s">
        <v>72</v>
      </c>
      <c r="E460" t="s">
        <v>15</v>
      </c>
      <c r="F460" t="s">
        <v>146</v>
      </c>
      <c r="G460">
        <v>2</v>
      </c>
      <c r="H460">
        <v>2500</v>
      </c>
      <c r="I460">
        <v>20</v>
      </c>
      <c r="J460" t="s">
        <v>29</v>
      </c>
      <c r="K460" t="s">
        <v>30</v>
      </c>
    </row>
    <row r="461" spans="1:11" x14ac:dyDescent="0.3">
      <c r="A461" t="s">
        <v>712</v>
      </c>
      <c r="B461" t="s">
        <v>330</v>
      </c>
      <c r="C461" t="s">
        <v>95</v>
      </c>
      <c r="D461" t="s">
        <v>14</v>
      </c>
      <c r="E461" t="s">
        <v>27</v>
      </c>
      <c r="F461" t="s">
        <v>89</v>
      </c>
      <c r="G461">
        <v>4</v>
      </c>
      <c r="H461">
        <v>450</v>
      </c>
      <c r="I461">
        <v>15</v>
      </c>
      <c r="J461" t="s">
        <v>17</v>
      </c>
      <c r="K461" t="s">
        <v>18</v>
      </c>
    </row>
    <row r="462" spans="1:11" x14ac:dyDescent="0.3">
      <c r="A462" t="s">
        <v>713</v>
      </c>
      <c r="B462" t="s">
        <v>200</v>
      </c>
      <c r="C462" t="s">
        <v>39</v>
      </c>
      <c r="D462" t="s">
        <v>26</v>
      </c>
      <c r="E462" t="s">
        <v>65</v>
      </c>
      <c r="F462" t="s">
        <v>85</v>
      </c>
      <c r="G462">
        <v>1</v>
      </c>
      <c r="H462">
        <v>650</v>
      </c>
      <c r="I462">
        <v>20</v>
      </c>
      <c r="J462" t="s">
        <v>55</v>
      </c>
      <c r="K462" t="s">
        <v>30</v>
      </c>
    </row>
    <row r="463" spans="1:11" x14ac:dyDescent="0.3">
      <c r="A463" t="s">
        <v>714</v>
      </c>
      <c r="B463" t="s">
        <v>222</v>
      </c>
      <c r="C463" t="s">
        <v>133</v>
      </c>
      <c r="D463" t="s">
        <v>40</v>
      </c>
      <c r="E463" t="s">
        <v>27</v>
      </c>
      <c r="F463" t="s">
        <v>128</v>
      </c>
      <c r="G463">
        <v>4</v>
      </c>
      <c r="H463">
        <v>1800</v>
      </c>
      <c r="I463">
        <v>5</v>
      </c>
      <c r="J463" t="s">
        <v>29</v>
      </c>
      <c r="K463" t="s">
        <v>30</v>
      </c>
    </row>
    <row r="464" spans="1:11" x14ac:dyDescent="0.3">
      <c r="A464" t="s">
        <v>715</v>
      </c>
      <c r="B464" t="s">
        <v>251</v>
      </c>
      <c r="C464" t="s">
        <v>95</v>
      </c>
      <c r="D464" t="s">
        <v>40</v>
      </c>
      <c r="E464" t="s">
        <v>65</v>
      </c>
      <c r="F464" t="s">
        <v>106</v>
      </c>
      <c r="G464">
        <v>1</v>
      </c>
      <c r="H464">
        <v>750</v>
      </c>
      <c r="I464">
        <v>5</v>
      </c>
      <c r="J464" t="s">
        <v>29</v>
      </c>
      <c r="K464" t="s">
        <v>18</v>
      </c>
    </row>
    <row r="465" spans="1:11" x14ac:dyDescent="0.3">
      <c r="A465" t="s">
        <v>716</v>
      </c>
      <c r="B465" t="s">
        <v>235</v>
      </c>
      <c r="C465" t="s">
        <v>179</v>
      </c>
      <c r="D465" t="s">
        <v>14</v>
      </c>
      <c r="E465" t="s">
        <v>49</v>
      </c>
      <c r="F465" t="s">
        <v>182</v>
      </c>
      <c r="G465">
        <v>3</v>
      </c>
      <c r="H465">
        <v>800</v>
      </c>
      <c r="I465">
        <v>10</v>
      </c>
      <c r="J465" t="s">
        <v>17</v>
      </c>
      <c r="K465" t="s">
        <v>22</v>
      </c>
    </row>
    <row r="466" spans="1:11" x14ac:dyDescent="0.3">
      <c r="A466" t="s">
        <v>717</v>
      </c>
      <c r="B466" t="s">
        <v>111</v>
      </c>
      <c r="C466" t="s">
        <v>44</v>
      </c>
      <c r="D466" t="s">
        <v>14</v>
      </c>
      <c r="E466" t="s">
        <v>27</v>
      </c>
      <c r="F466" t="s">
        <v>28</v>
      </c>
      <c r="G466">
        <v>1</v>
      </c>
      <c r="H466">
        <v>500</v>
      </c>
      <c r="I466">
        <v>15</v>
      </c>
      <c r="J466" t="s">
        <v>29</v>
      </c>
      <c r="K466" t="s">
        <v>18</v>
      </c>
    </row>
    <row r="467" spans="1:11" x14ac:dyDescent="0.3">
      <c r="A467" t="s">
        <v>718</v>
      </c>
      <c r="B467" t="s">
        <v>327</v>
      </c>
      <c r="C467" t="s">
        <v>179</v>
      </c>
      <c r="D467" t="s">
        <v>40</v>
      </c>
      <c r="E467" t="s">
        <v>15</v>
      </c>
      <c r="F467" t="s">
        <v>146</v>
      </c>
      <c r="G467">
        <v>4</v>
      </c>
      <c r="H467">
        <v>2500</v>
      </c>
      <c r="I467">
        <v>0</v>
      </c>
      <c r="J467" t="s">
        <v>17</v>
      </c>
      <c r="K467" t="s">
        <v>18</v>
      </c>
    </row>
    <row r="468" spans="1:11" x14ac:dyDescent="0.3">
      <c r="A468" t="s">
        <v>719</v>
      </c>
      <c r="B468" t="s">
        <v>251</v>
      </c>
      <c r="C468" t="s">
        <v>99</v>
      </c>
      <c r="D468" t="s">
        <v>40</v>
      </c>
      <c r="E468" t="s">
        <v>65</v>
      </c>
      <c r="F468" t="s">
        <v>85</v>
      </c>
      <c r="G468">
        <v>1</v>
      </c>
      <c r="H468">
        <v>650</v>
      </c>
      <c r="I468">
        <v>20</v>
      </c>
      <c r="J468" t="s">
        <v>51</v>
      </c>
      <c r="K468" t="s">
        <v>22</v>
      </c>
    </row>
    <row r="469" spans="1:11" x14ac:dyDescent="0.3">
      <c r="A469" t="s">
        <v>720</v>
      </c>
      <c r="B469" t="s">
        <v>380</v>
      </c>
      <c r="C469" t="s">
        <v>44</v>
      </c>
      <c r="D469" t="s">
        <v>40</v>
      </c>
      <c r="E469" t="s">
        <v>65</v>
      </c>
      <c r="F469" t="s">
        <v>96</v>
      </c>
      <c r="G469">
        <v>2</v>
      </c>
      <c r="H469">
        <v>900</v>
      </c>
      <c r="I469">
        <v>15</v>
      </c>
      <c r="J469" t="s">
        <v>51</v>
      </c>
      <c r="K469" t="s">
        <v>18</v>
      </c>
    </row>
    <row r="470" spans="1:11" x14ac:dyDescent="0.3">
      <c r="A470" t="s">
        <v>721</v>
      </c>
      <c r="B470" t="s">
        <v>312</v>
      </c>
      <c r="C470" t="s">
        <v>142</v>
      </c>
      <c r="D470" t="s">
        <v>14</v>
      </c>
      <c r="E470" t="s">
        <v>34</v>
      </c>
      <c r="F470" t="s">
        <v>62</v>
      </c>
      <c r="G470">
        <v>1</v>
      </c>
      <c r="H470">
        <v>900</v>
      </c>
      <c r="I470">
        <v>10</v>
      </c>
      <c r="J470" t="s">
        <v>51</v>
      </c>
      <c r="K470" t="s">
        <v>30</v>
      </c>
    </row>
    <row r="471" spans="1:11" x14ac:dyDescent="0.3">
      <c r="A471" t="s">
        <v>722</v>
      </c>
      <c r="B471" t="s">
        <v>385</v>
      </c>
      <c r="C471" t="s">
        <v>133</v>
      </c>
      <c r="D471" t="s">
        <v>40</v>
      </c>
      <c r="E471" t="s">
        <v>27</v>
      </c>
      <c r="F471" t="s">
        <v>128</v>
      </c>
      <c r="G471">
        <v>1</v>
      </c>
      <c r="H471">
        <v>1800</v>
      </c>
      <c r="I471">
        <v>5</v>
      </c>
      <c r="J471" t="s">
        <v>29</v>
      </c>
      <c r="K471" t="s">
        <v>22</v>
      </c>
    </row>
    <row r="472" spans="1:11" x14ac:dyDescent="0.3">
      <c r="A472" t="s">
        <v>723</v>
      </c>
      <c r="B472" t="s">
        <v>724</v>
      </c>
      <c r="C472" t="s">
        <v>215</v>
      </c>
      <c r="D472" t="s">
        <v>14</v>
      </c>
      <c r="E472" t="s">
        <v>65</v>
      </c>
      <c r="F472" t="s">
        <v>85</v>
      </c>
      <c r="G472">
        <v>2</v>
      </c>
      <c r="H472">
        <v>650</v>
      </c>
      <c r="I472">
        <v>0</v>
      </c>
      <c r="J472" t="s">
        <v>29</v>
      </c>
      <c r="K472" t="s">
        <v>22</v>
      </c>
    </row>
    <row r="473" spans="1:11" x14ac:dyDescent="0.3">
      <c r="A473" t="s">
        <v>725</v>
      </c>
      <c r="B473" t="s">
        <v>211</v>
      </c>
      <c r="C473" t="s">
        <v>142</v>
      </c>
      <c r="D473" t="s">
        <v>72</v>
      </c>
      <c r="E473" t="s">
        <v>65</v>
      </c>
      <c r="F473" t="s">
        <v>106</v>
      </c>
      <c r="G473">
        <v>1</v>
      </c>
      <c r="H473">
        <v>750</v>
      </c>
      <c r="I473">
        <v>20</v>
      </c>
      <c r="J473" t="s">
        <v>17</v>
      </c>
      <c r="K473" t="s">
        <v>18</v>
      </c>
    </row>
    <row r="474" spans="1:11" x14ac:dyDescent="0.3">
      <c r="A474" t="s">
        <v>726</v>
      </c>
      <c r="B474" t="s">
        <v>137</v>
      </c>
      <c r="C474" t="s">
        <v>105</v>
      </c>
      <c r="D474" t="s">
        <v>72</v>
      </c>
      <c r="E474" t="s">
        <v>65</v>
      </c>
      <c r="F474" t="s">
        <v>92</v>
      </c>
      <c r="G474">
        <v>1</v>
      </c>
      <c r="H474">
        <v>700</v>
      </c>
      <c r="I474">
        <v>20</v>
      </c>
      <c r="J474" t="s">
        <v>17</v>
      </c>
      <c r="K474" t="s">
        <v>18</v>
      </c>
    </row>
    <row r="475" spans="1:11" x14ac:dyDescent="0.3">
      <c r="A475" t="s">
        <v>727</v>
      </c>
      <c r="B475" t="s">
        <v>728</v>
      </c>
      <c r="C475" t="s">
        <v>33</v>
      </c>
      <c r="D475" t="s">
        <v>14</v>
      </c>
      <c r="E475" t="s">
        <v>27</v>
      </c>
      <c r="F475" t="s">
        <v>28</v>
      </c>
      <c r="G475">
        <v>5</v>
      </c>
      <c r="H475">
        <v>500</v>
      </c>
      <c r="I475">
        <v>5</v>
      </c>
      <c r="J475" t="s">
        <v>55</v>
      </c>
      <c r="K475" t="s">
        <v>36</v>
      </c>
    </row>
    <row r="476" spans="1:11" x14ac:dyDescent="0.3">
      <c r="A476" t="s">
        <v>729</v>
      </c>
      <c r="B476" t="s">
        <v>80</v>
      </c>
      <c r="C476" t="s">
        <v>95</v>
      </c>
      <c r="D476" t="s">
        <v>26</v>
      </c>
      <c r="E476" t="s">
        <v>65</v>
      </c>
      <c r="F476" t="s">
        <v>92</v>
      </c>
      <c r="G476">
        <v>5</v>
      </c>
      <c r="H476">
        <v>700</v>
      </c>
      <c r="I476">
        <v>15</v>
      </c>
      <c r="J476" t="s">
        <v>29</v>
      </c>
      <c r="K476" t="s">
        <v>22</v>
      </c>
    </row>
    <row r="477" spans="1:11" x14ac:dyDescent="0.3">
      <c r="A477" t="s">
        <v>730</v>
      </c>
      <c r="B477" t="s">
        <v>144</v>
      </c>
      <c r="C477" t="s">
        <v>122</v>
      </c>
      <c r="D477" t="s">
        <v>72</v>
      </c>
      <c r="E477" t="s">
        <v>34</v>
      </c>
      <c r="F477" t="s">
        <v>62</v>
      </c>
      <c r="G477">
        <v>2</v>
      </c>
      <c r="H477">
        <v>900</v>
      </c>
      <c r="I477">
        <v>5</v>
      </c>
      <c r="J477" t="s">
        <v>29</v>
      </c>
      <c r="K477" t="s">
        <v>30</v>
      </c>
    </row>
    <row r="478" spans="1:11" x14ac:dyDescent="0.3">
      <c r="A478" t="s">
        <v>731</v>
      </c>
      <c r="B478" t="s">
        <v>150</v>
      </c>
      <c r="C478" t="s">
        <v>249</v>
      </c>
      <c r="D478" t="s">
        <v>14</v>
      </c>
      <c r="E478" t="s">
        <v>27</v>
      </c>
      <c r="F478" t="s">
        <v>171</v>
      </c>
      <c r="G478">
        <v>2</v>
      </c>
      <c r="H478">
        <v>550</v>
      </c>
      <c r="I478">
        <v>5</v>
      </c>
      <c r="J478" t="s">
        <v>51</v>
      </c>
      <c r="K478" t="s">
        <v>30</v>
      </c>
    </row>
    <row r="479" spans="1:11" x14ac:dyDescent="0.3">
      <c r="A479" t="s">
        <v>732</v>
      </c>
      <c r="B479" t="s">
        <v>264</v>
      </c>
      <c r="C479" t="s">
        <v>99</v>
      </c>
      <c r="D479" t="s">
        <v>26</v>
      </c>
      <c r="E479" t="s">
        <v>49</v>
      </c>
      <c r="F479" t="s">
        <v>157</v>
      </c>
      <c r="G479">
        <v>1</v>
      </c>
      <c r="H479">
        <v>1800</v>
      </c>
      <c r="I479">
        <v>10</v>
      </c>
      <c r="J479" t="s">
        <v>29</v>
      </c>
      <c r="K479" t="s">
        <v>18</v>
      </c>
    </row>
    <row r="480" spans="1:11" x14ac:dyDescent="0.3">
      <c r="A480" t="s">
        <v>733</v>
      </c>
      <c r="B480" t="s">
        <v>189</v>
      </c>
      <c r="C480" t="s">
        <v>159</v>
      </c>
      <c r="D480" t="s">
        <v>40</v>
      </c>
      <c r="E480" t="s">
        <v>27</v>
      </c>
      <c r="F480" t="s">
        <v>171</v>
      </c>
      <c r="G480">
        <v>5</v>
      </c>
      <c r="H480">
        <v>550</v>
      </c>
      <c r="I480">
        <v>0</v>
      </c>
      <c r="J480" t="s">
        <v>17</v>
      </c>
      <c r="K480" t="s">
        <v>18</v>
      </c>
    </row>
    <row r="481" spans="1:11" x14ac:dyDescent="0.3">
      <c r="A481" t="s">
        <v>734</v>
      </c>
      <c r="B481" t="s">
        <v>132</v>
      </c>
      <c r="C481" t="s">
        <v>117</v>
      </c>
      <c r="D481" t="s">
        <v>14</v>
      </c>
      <c r="E481" t="s">
        <v>49</v>
      </c>
      <c r="F481" t="s">
        <v>182</v>
      </c>
      <c r="G481">
        <v>3</v>
      </c>
      <c r="H481">
        <v>800</v>
      </c>
      <c r="I481">
        <v>5</v>
      </c>
      <c r="J481" t="s">
        <v>51</v>
      </c>
      <c r="K481" t="s">
        <v>30</v>
      </c>
    </row>
    <row r="482" spans="1:11" x14ac:dyDescent="0.3">
      <c r="A482" t="s">
        <v>735</v>
      </c>
      <c r="B482" t="s">
        <v>222</v>
      </c>
      <c r="C482" t="s">
        <v>159</v>
      </c>
      <c r="D482" t="s">
        <v>26</v>
      </c>
      <c r="E482" t="s">
        <v>49</v>
      </c>
      <c r="F482" t="s">
        <v>182</v>
      </c>
      <c r="G482">
        <v>2</v>
      </c>
      <c r="H482">
        <v>800</v>
      </c>
      <c r="I482">
        <v>20</v>
      </c>
      <c r="J482" t="s">
        <v>17</v>
      </c>
      <c r="K482" t="s">
        <v>30</v>
      </c>
    </row>
    <row r="483" spans="1:11" x14ac:dyDescent="0.3">
      <c r="A483" t="s">
        <v>736</v>
      </c>
      <c r="B483" t="s">
        <v>227</v>
      </c>
      <c r="C483" t="s">
        <v>48</v>
      </c>
      <c r="D483" t="s">
        <v>14</v>
      </c>
      <c r="E483" t="s">
        <v>65</v>
      </c>
      <c r="F483" t="s">
        <v>85</v>
      </c>
      <c r="G483">
        <v>5</v>
      </c>
      <c r="H483">
        <v>650</v>
      </c>
      <c r="I483">
        <v>15</v>
      </c>
      <c r="J483" t="s">
        <v>55</v>
      </c>
      <c r="K483" t="s">
        <v>30</v>
      </c>
    </row>
    <row r="484" spans="1:11" x14ac:dyDescent="0.3">
      <c r="A484" t="s">
        <v>737</v>
      </c>
      <c r="B484" t="s">
        <v>204</v>
      </c>
      <c r="C484" t="s">
        <v>109</v>
      </c>
      <c r="D484" t="s">
        <v>26</v>
      </c>
      <c r="E484" t="s">
        <v>15</v>
      </c>
      <c r="F484" t="s">
        <v>146</v>
      </c>
      <c r="G484">
        <v>5</v>
      </c>
      <c r="H484">
        <v>2500</v>
      </c>
      <c r="I484">
        <v>0</v>
      </c>
      <c r="J484" t="s">
        <v>17</v>
      </c>
      <c r="K484" t="s">
        <v>30</v>
      </c>
    </row>
    <row r="485" spans="1:11" x14ac:dyDescent="0.3">
      <c r="A485" t="s">
        <v>738</v>
      </c>
      <c r="B485" t="s">
        <v>480</v>
      </c>
      <c r="C485" t="s">
        <v>44</v>
      </c>
      <c r="D485" t="s">
        <v>14</v>
      </c>
      <c r="E485" t="s">
        <v>49</v>
      </c>
      <c r="F485" t="s">
        <v>351</v>
      </c>
      <c r="G485">
        <v>3</v>
      </c>
      <c r="H485">
        <v>2800</v>
      </c>
      <c r="I485">
        <v>20</v>
      </c>
      <c r="J485" t="s">
        <v>55</v>
      </c>
      <c r="K485" t="s">
        <v>22</v>
      </c>
    </row>
    <row r="486" spans="1:11" x14ac:dyDescent="0.3">
      <c r="A486" t="s">
        <v>739</v>
      </c>
      <c r="B486" t="s">
        <v>156</v>
      </c>
      <c r="C486" t="s">
        <v>154</v>
      </c>
      <c r="D486" t="s">
        <v>40</v>
      </c>
      <c r="E486" t="s">
        <v>34</v>
      </c>
      <c r="F486" t="s">
        <v>62</v>
      </c>
      <c r="G486">
        <v>2</v>
      </c>
      <c r="H486">
        <v>900</v>
      </c>
      <c r="I486">
        <v>5</v>
      </c>
      <c r="J486" t="s">
        <v>17</v>
      </c>
      <c r="K486" t="s">
        <v>18</v>
      </c>
    </row>
    <row r="487" spans="1:11" x14ac:dyDescent="0.3">
      <c r="A487" t="s">
        <v>740</v>
      </c>
      <c r="B487" t="s">
        <v>229</v>
      </c>
      <c r="C487" t="s">
        <v>99</v>
      </c>
      <c r="D487" t="s">
        <v>26</v>
      </c>
      <c r="E487" t="s">
        <v>15</v>
      </c>
      <c r="F487" t="s">
        <v>146</v>
      </c>
      <c r="G487">
        <v>2</v>
      </c>
      <c r="H487">
        <v>2500</v>
      </c>
      <c r="I487">
        <v>5</v>
      </c>
      <c r="J487" t="s">
        <v>51</v>
      </c>
      <c r="K487" t="s">
        <v>36</v>
      </c>
    </row>
    <row r="488" spans="1:11" x14ac:dyDescent="0.3">
      <c r="A488" t="s">
        <v>741</v>
      </c>
      <c r="B488" t="s">
        <v>427</v>
      </c>
      <c r="C488" t="s">
        <v>117</v>
      </c>
      <c r="D488" t="s">
        <v>14</v>
      </c>
      <c r="E488" t="s">
        <v>34</v>
      </c>
      <c r="F488" t="s">
        <v>62</v>
      </c>
      <c r="G488">
        <v>3</v>
      </c>
      <c r="H488">
        <v>900</v>
      </c>
      <c r="I488">
        <v>20</v>
      </c>
      <c r="J488" t="s">
        <v>17</v>
      </c>
      <c r="K488" t="s">
        <v>30</v>
      </c>
    </row>
    <row r="489" spans="1:11" x14ac:dyDescent="0.3">
      <c r="A489" t="s">
        <v>742</v>
      </c>
      <c r="B489" t="s">
        <v>743</v>
      </c>
      <c r="C489" t="s">
        <v>54</v>
      </c>
      <c r="D489" t="s">
        <v>40</v>
      </c>
      <c r="E489" t="s">
        <v>65</v>
      </c>
      <c r="F489" t="s">
        <v>92</v>
      </c>
      <c r="G489">
        <v>3</v>
      </c>
      <c r="H489">
        <v>700</v>
      </c>
      <c r="I489">
        <v>20</v>
      </c>
      <c r="J489" t="s">
        <v>55</v>
      </c>
      <c r="K489" t="s">
        <v>22</v>
      </c>
    </row>
    <row r="490" spans="1:11" x14ac:dyDescent="0.3">
      <c r="A490" t="s">
        <v>744</v>
      </c>
      <c r="B490" t="s">
        <v>137</v>
      </c>
      <c r="C490" t="s">
        <v>71</v>
      </c>
      <c r="D490" t="s">
        <v>72</v>
      </c>
      <c r="E490" t="s">
        <v>27</v>
      </c>
      <c r="F490" t="s">
        <v>89</v>
      </c>
      <c r="G490">
        <v>5</v>
      </c>
      <c r="H490">
        <v>450</v>
      </c>
      <c r="I490">
        <v>20</v>
      </c>
      <c r="J490" t="s">
        <v>29</v>
      </c>
      <c r="K490" t="s">
        <v>36</v>
      </c>
    </row>
    <row r="491" spans="1:11" x14ac:dyDescent="0.3">
      <c r="A491" t="s">
        <v>745</v>
      </c>
      <c r="B491" t="s">
        <v>119</v>
      </c>
      <c r="C491" t="s">
        <v>154</v>
      </c>
      <c r="D491" t="s">
        <v>26</v>
      </c>
      <c r="E491" t="s">
        <v>34</v>
      </c>
      <c r="F491" t="s">
        <v>35</v>
      </c>
      <c r="G491">
        <v>3</v>
      </c>
      <c r="H491">
        <v>3500</v>
      </c>
      <c r="I491">
        <v>10</v>
      </c>
      <c r="J491" t="s">
        <v>51</v>
      </c>
      <c r="K491" t="s">
        <v>22</v>
      </c>
    </row>
    <row r="492" spans="1:11" x14ac:dyDescent="0.3">
      <c r="A492" t="s">
        <v>746</v>
      </c>
      <c r="B492" t="s">
        <v>499</v>
      </c>
      <c r="C492" t="s">
        <v>99</v>
      </c>
      <c r="D492" t="s">
        <v>40</v>
      </c>
      <c r="E492" t="s">
        <v>27</v>
      </c>
      <c r="F492" t="s">
        <v>128</v>
      </c>
      <c r="G492">
        <v>1</v>
      </c>
      <c r="H492">
        <v>1800</v>
      </c>
      <c r="I492">
        <v>10</v>
      </c>
      <c r="J492" t="s">
        <v>29</v>
      </c>
      <c r="K492" t="s">
        <v>22</v>
      </c>
    </row>
    <row r="493" spans="1:11" x14ac:dyDescent="0.3">
      <c r="A493" t="s">
        <v>747</v>
      </c>
      <c r="B493" t="s">
        <v>748</v>
      </c>
      <c r="C493" t="s">
        <v>117</v>
      </c>
      <c r="D493" t="s">
        <v>26</v>
      </c>
      <c r="E493" t="s">
        <v>27</v>
      </c>
      <c r="F493" t="s">
        <v>128</v>
      </c>
      <c r="G493">
        <v>4</v>
      </c>
      <c r="H493">
        <v>1800</v>
      </c>
      <c r="I493">
        <v>0</v>
      </c>
      <c r="J493" t="s">
        <v>29</v>
      </c>
      <c r="K493" t="s">
        <v>30</v>
      </c>
    </row>
    <row r="494" spans="1:11" x14ac:dyDescent="0.3">
      <c r="A494" t="s">
        <v>749</v>
      </c>
      <c r="B494" t="s">
        <v>184</v>
      </c>
      <c r="C494" t="s">
        <v>84</v>
      </c>
      <c r="D494" t="s">
        <v>26</v>
      </c>
      <c r="E494" t="s">
        <v>27</v>
      </c>
      <c r="F494" t="s">
        <v>171</v>
      </c>
      <c r="G494">
        <v>5</v>
      </c>
      <c r="H494">
        <v>550</v>
      </c>
      <c r="I494">
        <v>20</v>
      </c>
      <c r="J494" t="s">
        <v>29</v>
      </c>
      <c r="K494" t="s">
        <v>18</v>
      </c>
    </row>
    <row r="495" spans="1:11" x14ac:dyDescent="0.3">
      <c r="A495" t="s">
        <v>750</v>
      </c>
      <c r="B495" t="s">
        <v>751</v>
      </c>
      <c r="C495" t="s">
        <v>21</v>
      </c>
      <c r="D495" t="s">
        <v>26</v>
      </c>
      <c r="E495" t="s">
        <v>15</v>
      </c>
      <c r="F495" t="s">
        <v>78</v>
      </c>
      <c r="G495">
        <v>5</v>
      </c>
      <c r="H495">
        <v>900</v>
      </c>
      <c r="I495">
        <v>0</v>
      </c>
      <c r="J495" t="s">
        <v>17</v>
      </c>
      <c r="K495" t="s">
        <v>22</v>
      </c>
    </row>
    <row r="496" spans="1:11" x14ac:dyDescent="0.3">
      <c r="A496" t="s">
        <v>752</v>
      </c>
      <c r="B496" t="s">
        <v>753</v>
      </c>
      <c r="C496" t="s">
        <v>249</v>
      </c>
      <c r="D496" t="s">
        <v>40</v>
      </c>
      <c r="E496" t="s">
        <v>27</v>
      </c>
      <c r="F496" t="s">
        <v>128</v>
      </c>
      <c r="G496">
        <v>2</v>
      </c>
      <c r="H496">
        <v>1800</v>
      </c>
      <c r="I496">
        <v>5</v>
      </c>
      <c r="J496" t="s">
        <v>29</v>
      </c>
      <c r="K496" t="s">
        <v>36</v>
      </c>
    </row>
    <row r="497" spans="1:11" x14ac:dyDescent="0.3">
      <c r="A497" t="s">
        <v>754</v>
      </c>
      <c r="B497" t="s">
        <v>233</v>
      </c>
      <c r="C497" t="s">
        <v>95</v>
      </c>
      <c r="D497" t="s">
        <v>72</v>
      </c>
      <c r="E497" t="s">
        <v>49</v>
      </c>
      <c r="F497" t="s">
        <v>351</v>
      </c>
      <c r="G497">
        <v>1</v>
      </c>
      <c r="H497">
        <v>2800</v>
      </c>
      <c r="I497">
        <v>5</v>
      </c>
      <c r="J497" t="s">
        <v>17</v>
      </c>
      <c r="K497" t="s">
        <v>18</v>
      </c>
    </row>
    <row r="498" spans="1:11" x14ac:dyDescent="0.3">
      <c r="A498" t="s">
        <v>755</v>
      </c>
      <c r="B498" t="s">
        <v>470</v>
      </c>
      <c r="C498" t="s">
        <v>61</v>
      </c>
      <c r="D498" t="s">
        <v>40</v>
      </c>
      <c r="E498" t="s">
        <v>34</v>
      </c>
      <c r="F498" t="s">
        <v>100</v>
      </c>
      <c r="G498">
        <v>2</v>
      </c>
      <c r="H498">
        <v>1200</v>
      </c>
      <c r="I498">
        <v>10</v>
      </c>
      <c r="J498" t="s">
        <v>17</v>
      </c>
      <c r="K498" t="s">
        <v>22</v>
      </c>
    </row>
    <row r="499" spans="1:11" x14ac:dyDescent="0.3">
      <c r="A499" t="s">
        <v>756</v>
      </c>
      <c r="B499" t="s">
        <v>204</v>
      </c>
      <c r="C499" t="s">
        <v>25</v>
      </c>
      <c r="D499" t="s">
        <v>72</v>
      </c>
      <c r="E499" t="s">
        <v>34</v>
      </c>
      <c r="F499" t="s">
        <v>62</v>
      </c>
      <c r="G499">
        <v>4</v>
      </c>
      <c r="H499">
        <v>900</v>
      </c>
      <c r="I499">
        <v>10</v>
      </c>
      <c r="J499" t="s">
        <v>17</v>
      </c>
      <c r="K499" t="s">
        <v>18</v>
      </c>
    </row>
    <row r="500" spans="1:11" x14ac:dyDescent="0.3">
      <c r="A500" t="s">
        <v>757</v>
      </c>
      <c r="B500" t="s">
        <v>753</v>
      </c>
      <c r="C500" t="s">
        <v>249</v>
      </c>
      <c r="D500" t="s">
        <v>40</v>
      </c>
      <c r="E500" t="s">
        <v>15</v>
      </c>
      <c r="F500" t="s">
        <v>45</v>
      </c>
      <c r="G500">
        <v>5</v>
      </c>
      <c r="H500">
        <v>4500</v>
      </c>
      <c r="I500">
        <v>0</v>
      </c>
      <c r="J500" t="s">
        <v>17</v>
      </c>
      <c r="K500" t="s">
        <v>30</v>
      </c>
    </row>
    <row r="501" spans="1:11" x14ac:dyDescent="0.3">
      <c r="A501" t="s">
        <v>758</v>
      </c>
      <c r="B501" t="s">
        <v>355</v>
      </c>
      <c r="C501" t="s">
        <v>159</v>
      </c>
      <c r="D501" t="s">
        <v>26</v>
      </c>
      <c r="E501" t="s">
        <v>27</v>
      </c>
      <c r="F501" t="s">
        <v>89</v>
      </c>
      <c r="G501">
        <v>5</v>
      </c>
      <c r="H501">
        <v>450</v>
      </c>
      <c r="I501">
        <v>0</v>
      </c>
      <c r="J501" t="s">
        <v>51</v>
      </c>
      <c r="K501" t="s">
        <v>18</v>
      </c>
    </row>
    <row r="502" spans="1:11" x14ac:dyDescent="0.3">
      <c r="A502" t="s">
        <v>348</v>
      </c>
      <c r="B502" t="s">
        <v>262</v>
      </c>
      <c r="C502" t="s">
        <v>61</v>
      </c>
      <c r="D502" t="s">
        <v>40</v>
      </c>
      <c r="E502" t="s">
        <v>34</v>
      </c>
      <c r="F502" t="s">
        <v>81</v>
      </c>
      <c r="G502">
        <v>2</v>
      </c>
      <c r="H502">
        <v>700</v>
      </c>
      <c r="I502">
        <v>5</v>
      </c>
      <c r="J502" t="s">
        <v>17</v>
      </c>
      <c r="K502" t="s">
        <v>36</v>
      </c>
    </row>
    <row r="503" spans="1:11" x14ac:dyDescent="0.3">
      <c r="A503" t="s">
        <v>675</v>
      </c>
      <c r="B503" t="s">
        <v>24</v>
      </c>
      <c r="C503" t="s">
        <v>249</v>
      </c>
      <c r="D503" t="s">
        <v>14</v>
      </c>
      <c r="E503" t="s">
        <v>27</v>
      </c>
      <c r="F503" t="s">
        <v>138</v>
      </c>
      <c r="G503">
        <v>2</v>
      </c>
      <c r="H503">
        <v>650</v>
      </c>
      <c r="I503">
        <v>10</v>
      </c>
      <c r="J503" t="s">
        <v>29</v>
      </c>
      <c r="K503" t="s">
        <v>36</v>
      </c>
    </row>
    <row r="504" spans="1:11" x14ac:dyDescent="0.3">
      <c r="A504" t="s">
        <v>352</v>
      </c>
      <c r="B504" t="s">
        <v>353</v>
      </c>
      <c r="C504" t="s">
        <v>215</v>
      </c>
      <c r="D504" t="s">
        <v>40</v>
      </c>
      <c r="E504" t="s">
        <v>15</v>
      </c>
      <c r="F504" t="s">
        <v>73</v>
      </c>
      <c r="G504">
        <v>1</v>
      </c>
      <c r="H504">
        <v>2200</v>
      </c>
      <c r="I504">
        <v>5</v>
      </c>
      <c r="J504" t="s">
        <v>51</v>
      </c>
      <c r="K504" t="s">
        <v>22</v>
      </c>
    </row>
    <row r="505" spans="1:11" x14ac:dyDescent="0.3">
      <c r="A505" t="s">
        <v>400</v>
      </c>
      <c r="B505" t="s">
        <v>340</v>
      </c>
      <c r="C505" t="s">
        <v>99</v>
      </c>
      <c r="D505" t="s">
        <v>26</v>
      </c>
      <c r="E505" t="s">
        <v>49</v>
      </c>
      <c r="F505" t="s">
        <v>182</v>
      </c>
      <c r="G505">
        <v>2</v>
      </c>
      <c r="H505">
        <v>800</v>
      </c>
      <c r="I505">
        <v>15</v>
      </c>
      <c r="J505" t="s">
        <v>29</v>
      </c>
      <c r="K505" t="s">
        <v>22</v>
      </c>
    </row>
    <row r="506" spans="1:11" x14ac:dyDescent="0.3">
      <c r="A506" t="s">
        <v>315</v>
      </c>
      <c r="B506" t="s">
        <v>316</v>
      </c>
      <c r="C506" t="s">
        <v>48</v>
      </c>
      <c r="D506" t="s">
        <v>26</v>
      </c>
      <c r="E506" t="s">
        <v>65</v>
      </c>
      <c r="F506" t="s">
        <v>66</v>
      </c>
      <c r="G506">
        <v>1</v>
      </c>
      <c r="H506">
        <v>850</v>
      </c>
      <c r="I506">
        <v>10</v>
      </c>
      <c r="J506" t="s">
        <v>51</v>
      </c>
      <c r="K506" t="s">
        <v>36</v>
      </c>
    </row>
    <row r="507" spans="1:11" x14ac:dyDescent="0.3">
      <c r="A507" t="s">
        <v>546</v>
      </c>
      <c r="B507" t="s">
        <v>209</v>
      </c>
      <c r="C507" t="s">
        <v>33</v>
      </c>
      <c r="D507" t="s">
        <v>14</v>
      </c>
      <c r="E507" t="s">
        <v>34</v>
      </c>
      <c r="F507" t="s">
        <v>62</v>
      </c>
      <c r="G507">
        <v>3</v>
      </c>
      <c r="H507">
        <v>900</v>
      </c>
      <c r="I507">
        <v>0</v>
      </c>
      <c r="J507" t="s">
        <v>29</v>
      </c>
      <c r="K507" t="s">
        <v>36</v>
      </c>
    </row>
    <row r="508" spans="1:11" x14ac:dyDescent="0.3">
      <c r="A508" t="s">
        <v>496</v>
      </c>
      <c r="B508" t="s">
        <v>497</v>
      </c>
      <c r="C508" t="s">
        <v>179</v>
      </c>
      <c r="D508" t="s">
        <v>72</v>
      </c>
      <c r="E508" t="s">
        <v>34</v>
      </c>
      <c r="F508" t="s">
        <v>62</v>
      </c>
      <c r="G508">
        <v>4</v>
      </c>
      <c r="H508">
        <v>900</v>
      </c>
      <c r="I508">
        <v>5</v>
      </c>
      <c r="J508" t="s">
        <v>51</v>
      </c>
      <c r="K508" t="s">
        <v>18</v>
      </c>
    </row>
    <row r="509" spans="1:11" x14ac:dyDescent="0.3">
      <c r="A509" t="s">
        <v>754</v>
      </c>
      <c r="B509" t="s">
        <v>233</v>
      </c>
      <c r="C509" t="s">
        <v>95</v>
      </c>
      <c r="D509" t="s">
        <v>72</v>
      </c>
      <c r="E509" t="s">
        <v>49</v>
      </c>
      <c r="F509" t="s">
        <v>351</v>
      </c>
      <c r="G509">
        <v>1</v>
      </c>
      <c r="H509">
        <v>2800</v>
      </c>
      <c r="I509">
        <v>5</v>
      </c>
      <c r="J509" t="s">
        <v>17</v>
      </c>
      <c r="K509" t="s">
        <v>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8527-E05A-443C-81FF-1D9E39DF9770}">
  <dimension ref="A3:K18"/>
  <sheetViews>
    <sheetView tabSelected="1" workbookViewId="0">
      <selection activeCell="E4" sqref="E4:E7"/>
    </sheetView>
  </sheetViews>
  <sheetFormatPr defaultRowHeight="14.4" x14ac:dyDescent="0.3"/>
  <cols>
    <col min="1" max="1" width="10.77734375" bestFit="1" customWidth="1"/>
    <col min="2" max="2" width="19.21875" bestFit="1" customWidth="1"/>
    <col min="3" max="3" width="10.77734375" bestFit="1" customWidth="1"/>
    <col min="4" max="4" width="19.21875" bestFit="1" customWidth="1"/>
    <col min="5" max="5" width="16.109375" bestFit="1" customWidth="1"/>
    <col min="6" max="6" width="19.21875" bestFit="1" customWidth="1"/>
    <col min="10" max="10" width="12.5546875" bestFit="1" customWidth="1"/>
    <col min="11" max="11" width="19.21875" bestFit="1" customWidth="1"/>
  </cols>
  <sheetData>
    <row r="3" spans="1:11" x14ac:dyDescent="0.3">
      <c r="A3" s="3" t="s">
        <v>4</v>
      </c>
      <c r="B3" t="s">
        <v>778</v>
      </c>
      <c r="C3" s="3" t="s">
        <v>3</v>
      </c>
      <c r="D3" t="s">
        <v>778</v>
      </c>
      <c r="E3" s="3" t="s">
        <v>783</v>
      </c>
      <c r="F3" t="s">
        <v>778</v>
      </c>
      <c r="G3" s="6" t="s">
        <v>771</v>
      </c>
      <c r="H3" s="7">
        <f>SUM(Cleaned_E_commerce_sales[Sales Amount])</f>
        <v>2036332.5</v>
      </c>
      <c r="J3" s="6" t="s">
        <v>779</v>
      </c>
      <c r="K3" s="7">
        <f>COUNTA(Cleaned_E_commerce_sales[Order ID])</f>
        <v>500</v>
      </c>
    </row>
    <row r="4" spans="1:11" x14ac:dyDescent="0.3">
      <c r="A4" s="4" t="s">
        <v>15</v>
      </c>
      <c r="B4" s="5">
        <v>650365</v>
      </c>
      <c r="C4" s="4" t="s">
        <v>14</v>
      </c>
      <c r="D4" s="5">
        <v>582245</v>
      </c>
      <c r="E4" s="4" t="s">
        <v>30</v>
      </c>
      <c r="F4" s="5">
        <v>521485</v>
      </c>
    </row>
    <row r="5" spans="1:11" x14ac:dyDescent="0.3">
      <c r="A5" s="4" t="s">
        <v>34</v>
      </c>
      <c r="B5" s="5">
        <v>495595</v>
      </c>
      <c r="C5" s="4" t="s">
        <v>26</v>
      </c>
      <c r="D5" s="5">
        <v>508920</v>
      </c>
      <c r="E5" s="4" t="s">
        <v>36</v>
      </c>
      <c r="F5" s="5">
        <v>518010</v>
      </c>
    </row>
    <row r="6" spans="1:11" x14ac:dyDescent="0.3">
      <c r="A6" s="4" t="s">
        <v>49</v>
      </c>
      <c r="B6" s="5">
        <v>474590</v>
      </c>
      <c r="C6" s="4" t="s">
        <v>40</v>
      </c>
      <c r="D6" s="5">
        <v>497820</v>
      </c>
      <c r="E6" s="4" t="s">
        <v>22</v>
      </c>
      <c r="F6" s="5">
        <v>392667.5</v>
      </c>
      <c r="G6" s="6" t="s">
        <v>780</v>
      </c>
      <c r="H6" s="7">
        <f>SUM(Cleaned_E_commerce_sales[Quantity])</f>
        <v>1468</v>
      </c>
      <c r="J6" s="6" t="s">
        <v>781</v>
      </c>
      <c r="K6" s="7">
        <f>AVERAGE(Cleaned_E_commerce_sales[Sales Amount])</f>
        <v>4072.665</v>
      </c>
    </row>
    <row r="7" spans="1:11" x14ac:dyDescent="0.3">
      <c r="A7" s="4" t="s">
        <v>65</v>
      </c>
      <c r="B7" s="5">
        <v>208072.5</v>
      </c>
      <c r="C7" s="4" t="s">
        <v>72</v>
      </c>
      <c r="D7" s="5">
        <v>443377.5</v>
      </c>
      <c r="E7" s="4" t="s">
        <v>18</v>
      </c>
      <c r="F7" s="5">
        <v>604170</v>
      </c>
    </row>
    <row r="8" spans="1:11" x14ac:dyDescent="0.3">
      <c r="A8" s="4" t="s">
        <v>27</v>
      </c>
      <c r="B8" s="5">
        <v>207710</v>
      </c>
      <c r="C8" s="4" t="s">
        <v>772</v>
      </c>
      <c r="D8" s="5">
        <v>2032362.5</v>
      </c>
      <c r="E8" s="4" t="s">
        <v>772</v>
      </c>
      <c r="F8" s="5">
        <v>2036332.5</v>
      </c>
    </row>
    <row r="9" spans="1:11" x14ac:dyDescent="0.3">
      <c r="A9" s="4" t="s">
        <v>772</v>
      </c>
      <c r="B9" s="5">
        <v>2036332.5</v>
      </c>
    </row>
    <row r="11" spans="1:11" x14ac:dyDescent="0.3">
      <c r="A11" s="3" t="s">
        <v>761</v>
      </c>
      <c r="B11" t="s">
        <v>778</v>
      </c>
      <c r="C11" s="3" t="s">
        <v>9</v>
      </c>
      <c r="D11" t="s">
        <v>778</v>
      </c>
      <c r="E11" s="3" t="s">
        <v>782</v>
      </c>
      <c r="F11" t="s">
        <v>778</v>
      </c>
    </row>
    <row r="12" spans="1:11" x14ac:dyDescent="0.3">
      <c r="A12" s="4" t="s">
        <v>776</v>
      </c>
      <c r="B12" s="5">
        <v>397655</v>
      </c>
      <c r="C12" s="4" t="s">
        <v>55</v>
      </c>
      <c r="D12" s="5">
        <v>478795</v>
      </c>
      <c r="E12" s="4" t="s">
        <v>35</v>
      </c>
      <c r="F12" s="5">
        <v>246575</v>
      </c>
    </row>
    <row r="13" spans="1:11" x14ac:dyDescent="0.3">
      <c r="A13" s="4" t="s">
        <v>775</v>
      </c>
      <c r="B13" s="5">
        <v>395420</v>
      </c>
      <c r="C13" s="4" t="s">
        <v>51</v>
      </c>
      <c r="D13" s="5">
        <v>423362.5</v>
      </c>
      <c r="E13" s="4" t="s">
        <v>146</v>
      </c>
      <c r="F13" s="5">
        <v>221125</v>
      </c>
    </row>
    <row r="14" spans="1:11" x14ac:dyDescent="0.3">
      <c r="A14" s="4" t="s">
        <v>773</v>
      </c>
      <c r="B14" s="5">
        <v>364232.5</v>
      </c>
      <c r="C14" s="4" t="s">
        <v>29</v>
      </c>
      <c r="D14" s="5">
        <v>469697.5</v>
      </c>
      <c r="E14" s="4" t="s">
        <v>45</v>
      </c>
      <c r="F14" s="5">
        <v>211275</v>
      </c>
    </row>
    <row r="15" spans="1:11" x14ac:dyDescent="0.3">
      <c r="A15" s="4" t="s">
        <v>769</v>
      </c>
      <c r="B15" s="5">
        <v>343877.5</v>
      </c>
      <c r="C15" s="4" t="s">
        <v>764</v>
      </c>
      <c r="D15" s="5">
        <v>650915</v>
      </c>
      <c r="E15" s="4" t="s">
        <v>58</v>
      </c>
      <c r="F15" s="5">
        <v>176000</v>
      </c>
    </row>
    <row r="16" spans="1:11" x14ac:dyDescent="0.3">
      <c r="A16" s="4" t="s">
        <v>777</v>
      </c>
      <c r="B16" s="5">
        <v>275247.5</v>
      </c>
      <c r="C16" s="4" t="s">
        <v>772</v>
      </c>
      <c r="D16" s="5">
        <v>2022770</v>
      </c>
      <c r="E16" s="4" t="s">
        <v>73</v>
      </c>
      <c r="F16" s="5">
        <v>102960</v>
      </c>
    </row>
    <row r="17" spans="1:6" x14ac:dyDescent="0.3">
      <c r="A17" s="4" t="s">
        <v>774</v>
      </c>
      <c r="B17" s="5">
        <v>259900</v>
      </c>
      <c r="E17" s="4" t="s">
        <v>772</v>
      </c>
      <c r="F17" s="5">
        <v>957935</v>
      </c>
    </row>
    <row r="18" spans="1:6" x14ac:dyDescent="0.3">
      <c r="A18" s="4" t="s">
        <v>772</v>
      </c>
      <c r="B18" s="5">
        <v>2036332.5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62608-AC11-4CFF-B304-1D97643F2F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Cleaned E commerce sales</vt:lpstr>
      <vt:lpstr>Raw_Data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Nehasri B</cp:lastModifiedBy>
  <dcterms:created xsi:type="dcterms:W3CDTF">2026-08-18T15:16:07Z</dcterms:created>
  <dcterms:modified xsi:type="dcterms:W3CDTF">2026-08-30T07:26:27Z</dcterms:modified>
</cp:coreProperties>
</file>